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dialogsheets/sheet1.xml" ContentType="application/vnd.openxmlformats-officedocument.spreadsheetml.dialogsheet+xml"/>
  <Override PartName="/xl/dialogsheets/sheet2.xml" ContentType="application/vnd.openxmlformats-officedocument.spreadsheetml.dialog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ComBase\Version_15\"/>
    </mc:Choice>
  </mc:AlternateContent>
  <bookViews>
    <workbookView xWindow="1710" yWindow="105" windowWidth="16035" windowHeight="9945" tabRatio="536" firstSheet="1" activeTab="3"/>
  </bookViews>
  <sheets>
    <sheet name="Progs" sheetId="1" state="veryHidden" r:id=""/>
    <sheet name="OrgDialog" sheetId="2" r:id="rId1"/>
    <sheet name="Grid" sheetId="3" r:id="rId2"/>
    <sheet name="DMpred" sheetId="4" r:id="rId3"/>
    <sheet name="Orgs" sheetId="8" r:id="rId4"/>
    <sheet name="Help" sheetId="9" r:id="rId5"/>
    <sheet name="Ah" sheetId="10" state="hidden" r:id="rId6"/>
    <sheet name="Ss_Ef" sheetId="40" state="hidden" r:id="rId7"/>
    <sheet name="Bc" sheetId="11" state="hidden" r:id="rId8"/>
    <sheet name="Bc_C" sheetId="12" state="hidden" r:id="rId9"/>
    <sheet name="Bl" sheetId="13" state="hidden" r:id="rId10"/>
    <sheet name="Bs" sheetId="14" state="hidden" r:id="rId11"/>
    <sheet name="Bs(glyc)" sheetId="15" state="hidden" r:id="rId12"/>
    <sheet name="Bt" sheetId="16" state="hidden" r:id="rId13"/>
    <sheet name="Cbn" sheetId="17" state="hidden" r:id="rId14"/>
    <sheet name="Cbp" sheetId="18" state="hidden" r:id="rId15"/>
    <sheet name="Cp" sheetId="19" state="hidden" r:id="rId16"/>
    <sheet name="Ec" sheetId="20" state="hidden" r:id="rId17"/>
    <sheet name="Ec_C" sheetId="21" state="hidden" r:id="rId18"/>
    <sheet name="Lm" sheetId="22" state="hidden" r:id="rId19"/>
    <sheet name="Lm_C" sheetId="23" state="hidden" r:id="rId20"/>
    <sheet name="Lm_N" sheetId="24" state="hidden" r:id="rId21"/>
    <sheet name="Lm_L" sheetId="25" state="hidden" r:id="rId22"/>
    <sheet name="Lm_A" sheetId="26" state="hidden" r:id="rId23"/>
    <sheet name="Sa" sheetId="27" state="hidden" r:id="rId24"/>
    <sheet name="Sc" sheetId="28" state="hidden" r:id="rId25"/>
    <sheet name="SS" sheetId="29" state="hidden" r:id="rId26"/>
    <sheet name="SS_C" sheetId="30" state="hidden" r:id="rId27"/>
    <sheet name="SS_N" sheetId="31" state="hidden" r:id="rId28"/>
    <sheet name="Ye" sheetId="32" state="hidden" r:id="rId29"/>
    <sheet name="Ye_C" sheetId="33" state="hidden" r:id="rId30"/>
    <sheet name="Ye_A" sheetId="34" state="hidden" r:id="rId31"/>
    <sheet name="Ye_L" sheetId="35" state="hidden" r:id="rId32"/>
    <sheet name="Ps" sheetId="36" state="hidden" r:id="rId33"/>
    <sheet name="Bt_d" sheetId="37" state="hidden" r:id="rId34"/>
    <sheet name="Ye(ElModel)" sheetId="38" state="hidden" r:id="rId35"/>
    <sheet name="Ye_C(ElModel)" sheetId="39" state="hidden" r:id="rId36"/>
  </sheets>
  <functionGroups builtInGroupCount="18"/>
  <definedNames>
    <definedName name="_xlnm._FilterDatabase" localSheetId="3" hidden="1">DMpred!$G$26:$G$27</definedName>
    <definedName name="_xlnm._FilterDatabase" localSheetId="19" hidden="1">Lm!$F$1:$F$94</definedName>
    <definedName name="_xlnm._FilterDatabase" localSheetId="23" hidden="1">Lm_A!$F$1:$F$103</definedName>
    <definedName name="_xlnm._FilterDatabase" localSheetId="20" hidden="1">Lm_C!$F$1:$F$148</definedName>
    <definedName name="_xlnm._FilterDatabase" localSheetId="22" hidden="1">Lm_L!$F$1:$F$123</definedName>
    <definedName name="_xlnm._FilterDatabase" localSheetId="21" hidden="1">Lm_N!$F:$F</definedName>
    <definedName name="aar">DMpred!$BY$18:$BY$23</definedName>
    <definedName name="acet">DMpred!$O$18:$O$23</definedName>
    <definedName name="aw">DMpred!$K$18:$K$23</definedName>
    <definedName name="bw">DMpred!$BU$18:$BU$23</definedName>
    <definedName name="CO_2">DMpred!$M$18:$M$23</definedName>
    <definedName name="Cr">DMpred!$BW$18:$BW$23</definedName>
    <definedName name="e10r">DMpred!$CB$18:$CB$23</definedName>
    <definedName name="e11r">DMpred!$CC$18:$CC$23</definedName>
    <definedName name="e12r">DMpred!$CD$18:$CD$23</definedName>
    <definedName name="ef_1">DMpred!$R$18:$R$23</definedName>
    <definedName name="ef_2">DMpred!$S$18:$S$23</definedName>
    <definedName name="ef_3">DMpred!$T$18:$T$23</definedName>
    <definedName name="lact">DMpred!$P$18:$P$23</definedName>
    <definedName name="lar">DMpred!$BZ$18:$BZ$23</definedName>
    <definedName name="NaCl" localSheetId="19">DMpred!#REF!</definedName>
    <definedName name="NaCl">DMpred!$L$18:$L$23</definedName>
    <definedName name="NCr">DMpred!$BV$18:$BV$23</definedName>
    <definedName name="nitr">DMpred!$N$18:$N$23</definedName>
    <definedName name="nr">DMpred!$BX$18:$BX$23</definedName>
    <definedName name="pH">DMpred!$J$18:$J$23</definedName>
    <definedName name="pr">DMpred!$BT$18:$BT$23</definedName>
    <definedName name="_xlnm.Print_Area" localSheetId="3">DMpred!$A$1:$M$36</definedName>
    <definedName name="sar">DMpred!$CA$18:$CA$23</definedName>
    <definedName name="solver_adj" localSheetId="3" hidden="1">DMpred!$D$1:$D$25</definedName>
    <definedName name="solver_lhs1" localSheetId="3" hidden="1">DMpred!$D$1:$D$25</definedName>
    <definedName name="solver_lhs2" localSheetId="3" hidden="1">DMpred!$D$1:$D$25</definedName>
    <definedName name="solver_lhs3" localSheetId="3" hidden="1">DMpred!$D$26</definedName>
    <definedName name="solver_num" localSheetId="3" hidden="1">3</definedName>
    <definedName name="solver_opt" localSheetId="3" hidden="1">DMpred!#REF!</definedName>
    <definedName name="solver_rel1" localSheetId="3" hidden="1">1</definedName>
    <definedName name="solver_rel2" localSheetId="3" hidden="1">3</definedName>
    <definedName name="solver_rel3" localSheetId="3" hidden="1">2</definedName>
    <definedName name="solver_rhs1" localSheetId="3" hidden="1">1</definedName>
    <definedName name="solver_rhs2" localSheetId="3" hidden="1">0</definedName>
    <definedName name="solver_rhs3" localSheetId="3" hidden="1">1</definedName>
    <definedName name="solver_typ" localSheetId="3" hidden="1">2</definedName>
    <definedName name="solver_val" localSheetId="3" hidden="1">0</definedName>
    <definedName name="sorb">DMpred!$Q$18:$Q$23</definedName>
    <definedName name="temp">DMpred!$I$18:$I$23</definedName>
    <definedName name="tr">DMpred!$BS$18:$BS$23</definedName>
  </definedNames>
  <calcPr calcId="152511"/>
</workbook>
</file>

<file path=xl/calcChain.xml><?xml version="1.0" encoding="utf-8"?>
<calcChain xmlns="http://schemas.openxmlformats.org/spreadsheetml/2006/main">
  <c r="AO21" i="4" l="1"/>
  <c r="AM21" i="4"/>
  <c r="AK21" i="4"/>
  <c r="AI21" i="4"/>
  <c r="AG21" i="4"/>
  <c r="AE21" i="4"/>
  <c r="AC21" i="4"/>
  <c r="AA21" i="4"/>
  <c r="Y21" i="4"/>
  <c r="W21" i="4"/>
  <c r="BO21" i="4"/>
  <c r="AP21" i="4" s="1"/>
  <c r="BN21" i="4"/>
  <c r="BM21" i="4"/>
  <c r="AN21" i="4" s="1"/>
  <c r="BL21" i="4"/>
  <c r="BK21" i="4"/>
  <c r="AL21" i="4" s="1"/>
  <c r="BJ21" i="4"/>
  <c r="BI21" i="4"/>
  <c r="AJ21" i="4" s="1"/>
  <c r="BH21" i="4"/>
  <c r="BG21" i="4"/>
  <c r="AH21" i="4" s="1"/>
  <c r="BF21" i="4"/>
  <c r="BE21" i="4"/>
  <c r="AF21" i="4" s="1"/>
  <c r="BD21" i="4"/>
  <c r="BC21" i="4"/>
  <c r="AD21" i="4" s="1"/>
  <c r="BB21" i="4"/>
  <c r="BA21" i="4"/>
  <c r="AB21" i="4" s="1"/>
  <c r="AZ21" i="4"/>
  <c r="AY21" i="4"/>
  <c r="Z21" i="4" s="1"/>
  <c r="AX21" i="4"/>
  <c r="AW21" i="4"/>
  <c r="X21" i="4" s="1"/>
  <c r="AV21" i="4"/>
  <c r="AU21" i="4"/>
  <c r="V21" i="4" s="1"/>
  <c r="B21" i="4"/>
  <c r="A21" i="4" s="1"/>
  <c r="BU21" i="4"/>
  <c r="BT21" i="4"/>
  <c r="BS21" i="4"/>
  <c r="AP20" i="4"/>
  <c r="AN20" i="4"/>
  <c r="AL20" i="4"/>
  <c r="AJ20" i="4"/>
  <c r="AH20" i="4"/>
  <c r="AF20" i="4"/>
  <c r="AD20" i="4"/>
  <c r="AB20" i="4"/>
  <c r="Z20" i="4"/>
  <c r="X20" i="4"/>
  <c r="V20" i="4"/>
  <c r="BO20" i="4"/>
  <c r="BN20" i="4"/>
  <c r="AO20" i="4" s="1"/>
  <c r="BM20" i="4"/>
  <c r="BL20" i="4"/>
  <c r="AM20" i="4" s="1"/>
  <c r="BK20" i="4"/>
  <c r="BJ20" i="4"/>
  <c r="AK20" i="4" s="1"/>
  <c r="BI20" i="4"/>
  <c r="BH20" i="4"/>
  <c r="AI20" i="4" s="1"/>
  <c r="BG20" i="4"/>
  <c r="BF20" i="4"/>
  <c r="AG20" i="4" s="1"/>
  <c r="BE20" i="4"/>
  <c r="BD20" i="4"/>
  <c r="AE20" i="4" s="1"/>
  <c r="BC20" i="4"/>
  <c r="BB20" i="4"/>
  <c r="AC20" i="4" s="1"/>
  <c r="BA20" i="4"/>
  <c r="AZ20" i="4"/>
  <c r="AA20" i="4" s="1"/>
  <c r="AY20" i="4"/>
  <c r="AX20" i="4"/>
  <c r="Y20" i="4" s="1"/>
  <c r="AW20" i="4"/>
  <c r="AV20" i="4"/>
  <c r="W20" i="4" s="1"/>
  <c r="AU20" i="4"/>
  <c r="A20" i="4"/>
  <c r="B20" i="4"/>
  <c r="BU20" i="4"/>
  <c r="BT20" i="4"/>
  <c r="BS20" i="4"/>
  <c r="AO19" i="4"/>
  <c r="AM19" i="4"/>
  <c r="AK19" i="4"/>
  <c r="AI19" i="4"/>
  <c r="AG19" i="4"/>
  <c r="AE19" i="4"/>
  <c r="AC19" i="4"/>
  <c r="AA19" i="4"/>
  <c r="Y19" i="4"/>
  <c r="W19" i="4"/>
  <c r="BO19" i="4"/>
  <c r="AP19" i="4" s="1"/>
  <c r="BN19" i="4"/>
  <c r="BM19" i="4"/>
  <c r="AN19" i="4" s="1"/>
  <c r="BL19" i="4"/>
  <c r="BK19" i="4"/>
  <c r="AL19" i="4" s="1"/>
  <c r="BJ19" i="4"/>
  <c r="BI19" i="4"/>
  <c r="AJ19" i="4" s="1"/>
  <c r="BH19" i="4"/>
  <c r="BG19" i="4"/>
  <c r="AH19" i="4" s="1"/>
  <c r="BF19" i="4"/>
  <c r="BE19" i="4"/>
  <c r="AF19" i="4" s="1"/>
  <c r="BD19" i="4"/>
  <c r="BC19" i="4"/>
  <c r="AD19" i="4" s="1"/>
  <c r="BB19" i="4"/>
  <c r="BA19" i="4"/>
  <c r="AB19" i="4" s="1"/>
  <c r="AZ19" i="4"/>
  <c r="AY19" i="4"/>
  <c r="Z19" i="4" s="1"/>
  <c r="AX19" i="4"/>
  <c r="AW19" i="4"/>
  <c r="X19" i="4" s="1"/>
  <c r="AV19" i="4"/>
  <c r="AU19" i="4"/>
  <c r="V19" i="4" s="1"/>
  <c r="B19" i="4"/>
  <c r="A19" i="4" s="1"/>
  <c r="BU19" i="4"/>
  <c r="BT19" i="4"/>
  <c r="BS19" i="4"/>
  <c r="AP18" i="4"/>
  <c r="AN18" i="4"/>
  <c r="AL18" i="4"/>
  <c r="AJ18" i="4"/>
  <c r="AH18" i="4"/>
  <c r="AF18" i="4"/>
  <c r="AD18" i="4"/>
  <c r="AB18" i="4"/>
  <c r="Z18" i="4"/>
  <c r="X18" i="4"/>
  <c r="V18" i="4"/>
  <c r="BO18" i="4"/>
  <c r="BN18" i="4"/>
  <c r="AO18" i="4" s="1"/>
  <c r="BM18" i="4"/>
  <c r="BL18" i="4"/>
  <c r="AM18" i="4" s="1"/>
  <c r="BK18" i="4"/>
  <c r="BJ18" i="4"/>
  <c r="AK18" i="4" s="1"/>
  <c r="BI18" i="4"/>
  <c r="BH18" i="4"/>
  <c r="AI18" i="4" s="1"/>
  <c r="BG18" i="4"/>
  <c r="BF18" i="4"/>
  <c r="AG18" i="4" s="1"/>
  <c r="BE18" i="4"/>
  <c r="BD18" i="4"/>
  <c r="AE18" i="4" s="1"/>
  <c r="BC18" i="4"/>
  <c r="BB18" i="4"/>
  <c r="AC18" i="4" s="1"/>
  <c r="BA18" i="4"/>
  <c r="AZ18" i="4"/>
  <c r="AA18" i="4" s="1"/>
  <c r="AY18" i="4"/>
  <c r="AX18" i="4"/>
  <c r="Y18" i="4" s="1"/>
  <c r="AW18" i="4"/>
  <c r="AV18" i="4"/>
  <c r="W18" i="4" s="1"/>
  <c r="AU18" i="4"/>
  <c r="A18" i="4"/>
  <c r="B18" i="4"/>
  <c r="BU18" i="4"/>
  <c r="BT18" i="4"/>
  <c r="BS18" i="4"/>
  <c r="BU36" i="4" l="1"/>
  <c r="BT36" i="4"/>
  <c r="BS36" i="4"/>
  <c r="BU35" i="4"/>
  <c r="BT35" i="4"/>
  <c r="BS35" i="4"/>
  <c r="BU34" i="4"/>
  <c r="BT34" i="4"/>
  <c r="BS34" i="4"/>
  <c r="BU33" i="4"/>
  <c r="BT33" i="4"/>
  <c r="BS33" i="4"/>
  <c r="BU32" i="4"/>
  <c r="BT32" i="4"/>
  <c r="BS32" i="4"/>
  <c r="BU31" i="4"/>
  <c r="BT31" i="4"/>
  <c r="BS31" i="4"/>
  <c r="BU30" i="4"/>
  <c r="BT30" i="4"/>
  <c r="BS30" i="4"/>
  <c r="BU29" i="4"/>
  <c r="BT29" i="4"/>
  <c r="BS29" i="4"/>
  <c r="BU28" i="4"/>
  <c r="BT28" i="4"/>
  <c r="A28" i="4" s="1"/>
  <c r="BS28" i="4"/>
  <c r="BU27" i="4"/>
  <c r="BT27" i="4"/>
  <c r="BS27" i="4"/>
  <c r="C3" i="40"/>
  <c r="B12" i="40"/>
  <c r="A18" i="40"/>
  <c r="A19" i="40"/>
  <c r="A20" i="40"/>
  <c r="A21" i="40"/>
  <c r="A22" i="40"/>
  <c r="A23" i="40"/>
  <c r="F31" i="40"/>
  <c r="F33" i="40"/>
  <c r="F35" i="40"/>
  <c r="F37" i="40"/>
  <c r="BO22" i="4"/>
  <c r="BN22" i="4"/>
  <c r="BM22" i="4"/>
  <c r="BL22" i="4"/>
  <c r="BK22" i="4"/>
  <c r="BJ22" i="4"/>
  <c r="BI22" i="4"/>
  <c r="BH22" i="4"/>
  <c r="BG22" i="4"/>
  <c r="BF22" i="4"/>
  <c r="BE22" i="4"/>
  <c r="BD22" i="4"/>
  <c r="BC22" i="4"/>
  <c r="BB22" i="4"/>
  <c r="BA22" i="4"/>
  <c r="AZ22" i="4"/>
  <c r="AY22" i="4"/>
  <c r="AX22" i="4"/>
  <c r="AW22" i="4"/>
  <c r="AV22" i="4"/>
  <c r="AU22" i="4"/>
  <c r="BU22" i="4"/>
  <c r="BT22" i="4"/>
  <c r="BS22" i="4"/>
  <c r="V17" i="4"/>
  <c r="W17" i="4" s="1"/>
  <c r="F12" i="4"/>
  <c r="H12" i="10"/>
  <c r="C3" i="10"/>
  <c r="A1" i="10"/>
  <c r="B12" i="10"/>
  <c r="A23" i="10"/>
  <c r="A22" i="10"/>
  <c r="A21" i="10"/>
  <c r="A20" i="10"/>
  <c r="A19" i="10"/>
  <c r="A18" i="10"/>
  <c r="O2" i="10"/>
  <c r="N2" i="10"/>
  <c r="M2" i="10"/>
  <c r="L2" i="10"/>
  <c r="K2" i="10"/>
  <c r="J2" i="10"/>
  <c r="I2" i="10"/>
  <c r="H2" i="10"/>
  <c r="G2" i="10"/>
  <c r="F2" i="10"/>
  <c r="E2" i="10"/>
  <c r="D2" i="10"/>
  <c r="B2" i="10"/>
  <c r="C3" i="11"/>
  <c r="H12" i="11"/>
  <c r="B12" i="11"/>
  <c r="A1" i="11"/>
  <c r="A23" i="11"/>
  <c r="A22" i="11"/>
  <c r="A21" i="11"/>
  <c r="A20" i="11"/>
  <c r="A19" i="11"/>
  <c r="A18" i="11"/>
  <c r="O2" i="11"/>
  <c r="N2" i="11"/>
  <c r="M2" i="11"/>
  <c r="L2" i="11"/>
  <c r="K2" i="11"/>
  <c r="J2" i="11"/>
  <c r="I2" i="11"/>
  <c r="H2" i="11"/>
  <c r="G2" i="11"/>
  <c r="F2" i="11"/>
  <c r="E2" i="11"/>
  <c r="D2" i="11"/>
  <c r="B2" i="11"/>
  <c r="C3" i="12"/>
  <c r="H12" i="12"/>
  <c r="A28" i="12"/>
  <c r="A27" i="12"/>
  <c r="A26" i="12"/>
  <c r="A25" i="12"/>
  <c r="B12" i="12"/>
  <c r="A1" i="12"/>
  <c r="A23" i="12"/>
  <c r="A22" i="12"/>
  <c r="A21" i="12"/>
  <c r="A20" i="12"/>
  <c r="A19" i="12"/>
  <c r="A18" i="12"/>
  <c r="O2" i="12"/>
  <c r="N2" i="12"/>
  <c r="M2" i="12"/>
  <c r="L2" i="12"/>
  <c r="K2" i="12"/>
  <c r="J2" i="12"/>
  <c r="I2" i="12"/>
  <c r="H2" i="12"/>
  <c r="G2" i="12"/>
  <c r="F2" i="12"/>
  <c r="E2" i="12"/>
  <c r="D2" i="12"/>
  <c r="B2" i="12"/>
  <c r="H12" i="13"/>
  <c r="C3" i="13"/>
  <c r="A1" i="13"/>
  <c r="B12" i="13"/>
  <c r="A23" i="13"/>
  <c r="A22" i="13"/>
  <c r="A21" i="13"/>
  <c r="A20" i="13"/>
  <c r="A19" i="13"/>
  <c r="A18" i="13"/>
  <c r="O2" i="13"/>
  <c r="N2" i="13"/>
  <c r="M2" i="13"/>
  <c r="L2" i="13"/>
  <c r="K2" i="13"/>
  <c r="J2" i="13"/>
  <c r="I2" i="13"/>
  <c r="H2" i="13"/>
  <c r="G2" i="13"/>
  <c r="F2" i="13"/>
  <c r="E2" i="13"/>
  <c r="D2" i="13"/>
  <c r="B2" i="13"/>
  <c r="H12" i="14"/>
  <c r="C3" i="14"/>
  <c r="A1" i="14"/>
  <c r="B12" i="14"/>
  <c r="A23" i="14"/>
  <c r="A22" i="14"/>
  <c r="A21" i="14"/>
  <c r="A20" i="14"/>
  <c r="A19" i="14"/>
  <c r="A18" i="14"/>
  <c r="O2" i="14"/>
  <c r="N2" i="14"/>
  <c r="M2" i="14"/>
  <c r="L2" i="14"/>
  <c r="K2" i="14"/>
  <c r="J2" i="14"/>
  <c r="I2" i="14"/>
  <c r="H2" i="14"/>
  <c r="G2" i="14"/>
  <c r="F2" i="14"/>
  <c r="E2" i="14"/>
  <c r="D2" i="14"/>
  <c r="B2" i="14"/>
  <c r="C3" i="15"/>
  <c r="A1" i="15"/>
  <c r="B12" i="15"/>
  <c r="A23" i="15"/>
  <c r="A22" i="15"/>
  <c r="A21" i="15"/>
  <c r="A20" i="15"/>
  <c r="A19" i="15"/>
  <c r="A18" i="15"/>
  <c r="O2" i="15"/>
  <c r="N2" i="15"/>
  <c r="M2" i="15"/>
  <c r="L2" i="15"/>
  <c r="K2" i="15"/>
  <c r="J2" i="15"/>
  <c r="I2" i="15"/>
  <c r="H2" i="15"/>
  <c r="G2" i="15"/>
  <c r="F2" i="15"/>
  <c r="E2" i="15"/>
  <c r="D2" i="15"/>
  <c r="B2" i="15"/>
  <c r="C3" i="16"/>
  <c r="B12" i="16"/>
  <c r="A23" i="16"/>
  <c r="A22" i="16"/>
  <c r="A21" i="16"/>
  <c r="A20" i="16"/>
  <c r="A19" i="16"/>
  <c r="A18" i="16"/>
  <c r="A1" i="16"/>
  <c r="O2" i="16"/>
  <c r="N2" i="16"/>
  <c r="M2" i="16"/>
  <c r="L2" i="16"/>
  <c r="K2" i="16"/>
  <c r="J2" i="16"/>
  <c r="I2" i="16"/>
  <c r="H2" i="16"/>
  <c r="G2" i="16"/>
  <c r="F2" i="16"/>
  <c r="E2" i="16"/>
  <c r="D2" i="16"/>
  <c r="B2" i="16"/>
  <c r="B12" i="37"/>
  <c r="A1" i="37"/>
  <c r="O2" i="37"/>
  <c r="N2" i="37"/>
  <c r="M2" i="37"/>
  <c r="L2" i="37"/>
  <c r="K2" i="37"/>
  <c r="J2" i="37"/>
  <c r="I2" i="37"/>
  <c r="H2" i="37"/>
  <c r="G2" i="37"/>
  <c r="F2" i="37"/>
  <c r="E2" i="37"/>
  <c r="D2" i="37"/>
  <c r="B2" i="37"/>
  <c r="C3" i="17"/>
  <c r="H12" i="17"/>
  <c r="A1" i="17"/>
  <c r="B12" i="17"/>
  <c r="A23" i="17"/>
  <c r="A22" i="17"/>
  <c r="A21" i="17"/>
  <c r="A20" i="17"/>
  <c r="A19" i="17"/>
  <c r="A18" i="17"/>
  <c r="O2" i="17"/>
  <c r="N2" i="17"/>
  <c r="M2" i="17"/>
  <c r="L2" i="17"/>
  <c r="K2" i="17"/>
  <c r="J2" i="17"/>
  <c r="I2" i="17"/>
  <c r="H2" i="17"/>
  <c r="G2" i="17"/>
  <c r="F2" i="17"/>
  <c r="E2" i="17"/>
  <c r="D2" i="17"/>
  <c r="B2" i="17"/>
  <c r="C3" i="18"/>
  <c r="H12" i="18"/>
  <c r="A1" i="18"/>
  <c r="B12" i="18"/>
  <c r="A23" i="18"/>
  <c r="A22" i="18"/>
  <c r="A21" i="18"/>
  <c r="A20" i="18"/>
  <c r="A19" i="18"/>
  <c r="A18" i="18"/>
  <c r="O2" i="18"/>
  <c r="N2" i="18"/>
  <c r="M2" i="18"/>
  <c r="L2" i="18"/>
  <c r="K2" i="18"/>
  <c r="J2" i="18"/>
  <c r="I2" i="18"/>
  <c r="H2" i="18"/>
  <c r="G2" i="18"/>
  <c r="F2" i="18"/>
  <c r="E2" i="18"/>
  <c r="D2" i="18"/>
  <c r="B2" i="18"/>
  <c r="H12" i="19"/>
  <c r="C3" i="19"/>
  <c r="A1" i="19"/>
  <c r="B12" i="19"/>
  <c r="A23" i="19"/>
  <c r="A22" i="19"/>
  <c r="A21" i="19"/>
  <c r="A20" i="19"/>
  <c r="A19" i="19"/>
  <c r="A18" i="19"/>
  <c r="O2" i="19"/>
  <c r="N2" i="19"/>
  <c r="M2" i="19"/>
  <c r="L2" i="19"/>
  <c r="K2" i="19"/>
  <c r="J2" i="19"/>
  <c r="I2" i="19"/>
  <c r="H2" i="19"/>
  <c r="G2" i="19"/>
  <c r="F2" i="19"/>
  <c r="E2" i="19"/>
  <c r="D2" i="19"/>
  <c r="B2" i="19"/>
  <c r="AT17" i="4"/>
  <c r="C3" i="20"/>
  <c r="A1" i="20"/>
  <c r="B12" i="20"/>
  <c r="A23" i="20"/>
  <c r="A22" i="20"/>
  <c r="A21" i="20"/>
  <c r="A20" i="20"/>
  <c r="A19" i="20"/>
  <c r="A18" i="20"/>
  <c r="O2" i="20"/>
  <c r="N2" i="20"/>
  <c r="M2" i="20"/>
  <c r="L2" i="20"/>
  <c r="K2" i="20"/>
  <c r="J2" i="20"/>
  <c r="I2" i="20"/>
  <c r="H2" i="20"/>
  <c r="G2" i="20"/>
  <c r="F2" i="20"/>
  <c r="E2" i="20"/>
  <c r="D2" i="20"/>
  <c r="B2" i="20"/>
  <c r="C3" i="21"/>
  <c r="A1" i="21"/>
  <c r="B12" i="21"/>
  <c r="A28" i="21"/>
  <c r="A27" i="21"/>
  <c r="A26" i="21"/>
  <c r="A25" i="21"/>
  <c r="A23" i="21"/>
  <c r="A22" i="21"/>
  <c r="A21" i="21"/>
  <c r="A20" i="21"/>
  <c r="A19" i="21"/>
  <c r="A18" i="21"/>
  <c r="O2" i="21"/>
  <c r="N2" i="21"/>
  <c r="M2" i="21"/>
  <c r="L2" i="21"/>
  <c r="K2" i="21"/>
  <c r="J2" i="21"/>
  <c r="I2" i="21"/>
  <c r="H2" i="21"/>
  <c r="G2" i="21"/>
  <c r="F2" i="21"/>
  <c r="E2" i="21"/>
  <c r="D2" i="21"/>
  <c r="B2" i="21"/>
  <c r="A1" i="22"/>
  <c r="C3" i="22"/>
  <c r="B12" i="22"/>
  <c r="A23" i="22"/>
  <c r="A22" i="22"/>
  <c r="A21" i="22"/>
  <c r="A20" i="22"/>
  <c r="A19" i="22"/>
  <c r="A18" i="22"/>
  <c r="O2" i="22"/>
  <c r="N2" i="22"/>
  <c r="M2" i="22"/>
  <c r="L2" i="22"/>
  <c r="K2" i="22"/>
  <c r="J2" i="22"/>
  <c r="I2" i="22"/>
  <c r="H2" i="22"/>
  <c r="G2" i="22"/>
  <c r="F2" i="22"/>
  <c r="E2" i="22"/>
  <c r="D2" i="22"/>
  <c r="B2" i="22"/>
  <c r="H12" i="26"/>
  <c r="C3" i="26"/>
  <c r="A1" i="26"/>
  <c r="B12" i="26"/>
  <c r="A28" i="26"/>
  <c r="A27" i="26"/>
  <c r="A26" i="26"/>
  <c r="A25" i="26"/>
  <c r="A23" i="26"/>
  <c r="A22" i="26"/>
  <c r="A21" i="26"/>
  <c r="A20" i="26"/>
  <c r="A19" i="26"/>
  <c r="A18" i="26"/>
  <c r="O2" i="26"/>
  <c r="N2" i="26"/>
  <c r="M2" i="26"/>
  <c r="L2" i="26"/>
  <c r="K2" i="26"/>
  <c r="J2" i="26"/>
  <c r="I2" i="26"/>
  <c r="H2" i="26"/>
  <c r="G2" i="26"/>
  <c r="F2" i="26"/>
  <c r="E2" i="26"/>
  <c r="D2" i="26"/>
  <c r="B2" i="26"/>
  <c r="H12" i="23"/>
  <c r="C3" i="23"/>
  <c r="A1" i="23"/>
  <c r="B12" i="23"/>
  <c r="A28" i="23"/>
  <c r="A27" i="23"/>
  <c r="A26" i="23"/>
  <c r="A25" i="23"/>
  <c r="A23" i="23"/>
  <c r="A22" i="23"/>
  <c r="A21" i="23"/>
  <c r="A20" i="23"/>
  <c r="A19" i="23"/>
  <c r="A18" i="23"/>
  <c r="O2" i="23"/>
  <c r="N2" i="23"/>
  <c r="M2" i="23"/>
  <c r="L2" i="23"/>
  <c r="K2" i="23"/>
  <c r="J2" i="23"/>
  <c r="I2" i="23"/>
  <c r="H2" i="23"/>
  <c r="G2" i="23"/>
  <c r="F2" i="23"/>
  <c r="E2" i="23"/>
  <c r="D2" i="23"/>
  <c r="B2" i="23"/>
  <c r="H12" i="25"/>
  <c r="C3" i="25"/>
  <c r="A1" i="25"/>
  <c r="B12" i="25"/>
  <c r="A28" i="25"/>
  <c r="A27" i="25"/>
  <c r="A26" i="25"/>
  <c r="A25" i="25"/>
  <c r="A23" i="25"/>
  <c r="A22" i="25"/>
  <c r="A21" i="25"/>
  <c r="A20" i="25"/>
  <c r="A19" i="25"/>
  <c r="A18" i="25"/>
  <c r="O2" i="25"/>
  <c r="N2" i="25"/>
  <c r="M2" i="25"/>
  <c r="L2" i="25"/>
  <c r="K2" i="25"/>
  <c r="J2" i="25"/>
  <c r="I2" i="25"/>
  <c r="H2" i="25"/>
  <c r="G2" i="25"/>
  <c r="F2" i="25"/>
  <c r="E2" i="25"/>
  <c r="D2" i="25"/>
  <c r="B2" i="25"/>
  <c r="C3" i="24"/>
  <c r="A1" i="24"/>
  <c r="B12" i="24"/>
  <c r="A28" i="24"/>
  <c r="A27" i="24"/>
  <c r="A26" i="24"/>
  <c r="A25" i="24"/>
  <c r="A23" i="24"/>
  <c r="A22" i="24"/>
  <c r="A21" i="24"/>
  <c r="A20" i="24"/>
  <c r="A19" i="24"/>
  <c r="A18" i="24"/>
  <c r="O2" i="24"/>
  <c r="N2" i="24"/>
  <c r="M2" i="24"/>
  <c r="L2" i="24"/>
  <c r="K2" i="24"/>
  <c r="J2" i="24"/>
  <c r="I2" i="24"/>
  <c r="H2" i="24"/>
  <c r="G2" i="24"/>
  <c r="F2" i="24"/>
  <c r="E2" i="24"/>
  <c r="D2" i="24"/>
  <c r="B2" i="24"/>
  <c r="A1" i="36"/>
  <c r="C3" i="36"/>
  <c r="B12" i="36"/>
  <c r="A23" i="36"/>
  <c r="A22" i="36"/>
  <c r="A21" i="36"/>
  <c r="A20" i="36"/>
  <c r="A19" i="36"/>
  <c r="A18" i="36"/>
  <c r="O2" i="36"/>
  <c r="N2" i="36"/>
  <c r="M2" i="36"/>
  <c r="L2" i="36"/>
  <c r="K2" i="36"/>
  <c r="J2" i="36"/>
  <c r="I2" i="36"/>
  <c r="H2" i="36"/>
  <c r="G2" i="36"/>
  <c r="F2" i="36"/>
  <c r="E2" i="36"/>
  <c r="D2" i="36"/>
  <c r="B2" i="36"/>
  <c r="A1" i="27"/>
  <c r="C3" i="27"/>
  <c r="H12" i="27"/>
  <c r="B12" i="27"/>
  <c r="A23" i="27"/>
  <c r="A22" i="27"/>
  <c r="A21" i="27"/>
  <c r="A20" i="27"/>
  <c r="A19" i="27"/>
  <c r="A18" i="27"/>
  <c r="O2" i="27"/>
  <c r="N2" i="27"/>
  <c r="M2" i="27"/>
  <c r="L2" i="27"/>
  <c r="K2" i="27"/>
  <c r="J2" i="27"/>
  <c r="I2" i="27"/>
  <c r="H2" i="27"/>
  <c r="G2" i="27"/>
  <c r="F2" i="27"/>
  <c r="E2" i="27"/>
  <c r="D2" i="27"/>
  <c r="B2" i="27"/>
  <c r="C3" i="28"/>
  <c r="A1" i="28"/>
  <c r="B12" i="28"/>
  <c r="A23" i="28"/>
  <c r="A22" i="28"/>
  <c r="A21" i="28"/>
  <c r="A20" i="28"/>
  <c r="A19" i="28"/>
  <c r="A18" i="28"/>
  <c r="O2" i="28"/>
  <c r="N2" i="28"/>
  <c r="M2" i="28"/>
  <c r="L2" i="28"/>
  <c r="K2" i="28"/>
  <c r="J2" i="28"/>
  <c r="I2" i="28"/>
  <c r="H2" i="28"/>
  <c r="G2" i="28"/>
  <c r="F2" i="28"/>
  <c r="E2" i="28"/>
  <c r="D2" i="28"/>
  <c r="B2" i="28"/>
  <c r="C27" i="29"/>
  <c r="C3" i="29"/>
  <c r="H12" i="29"/>
  <c r="A1" i="29"/>
  <c r="B12" i="29"/>
  <c r="A23" i="29"/>
  <c r="A22" i="29"/>
  <c r="A21" i="29"/>
  <c r="A20" i="29"/>
  <c r="A19" i="29"/>
  <c r="A18" i="29"/>
  <c r="O2" i="29"/>
  <c r="N2" i="29"/>
  <c r="M2" i="29"/>
  <c r="L2" i="29"/>
  <c r="K2" i="29"/>
  <c r="J2" i="29"/>
  <c r="I2" i="29"/>
  <c r="H2" i="29"/>
  <c r="G2" i="29"/>
  <c r="F2" i="29"/>
  <c r="E2" i="29"/>
  <c r="D2" i="29"/>
  <c r="B2" i="29"/>
  <c r="C3" i="30"/>
  <c r="H12" i="30"/>
  <c r="A1" i="30"/>
  <c r="B12" i="30"/>
  <c r="A28" i="30"/>
  <c r="A27" i="30"/>
  <c r="A26" i="30"/>
  <c r="A25" i="30"/>
  <c r="A23" i="30"/>
  <c r="A22" i="30"/>
  <c r="A21" i="30"/>
  <c r="A20" i="30"/>
  <c r="A19" i="30"/>
  <c r="A18" i="30"/>
  <c r="O2" i="30"/>
  <c r="N2" i="30"/>
  <c r="M2" i="30"/>
  <c r="L2" i="30"/>
  <c r="K2" i="30"/>
  <c r="J2" i="30"/>
  <c r="I2" i="30"/>
  <c r="H2" i="30"/>
  <c r="G2" i="30"/>
  <c r="F2" i="30"/>
  <c r="E2" i="30"/>
  <c r="D2" i="30"/>
  <c r="B2" i="30"/>
  <c r="C3" i="31"/>
  <c r="H12" i="31"/>
  <c r="A1" i="31"/>
  <c r="B12" i="31"/>
  <c r="A28" i="31"/>
  <c r="A27" i="31"/>
  <c r="A26" i="31"/>
  <c r="A25" i="31"/>
  <c r="A23" i="31"/>
  <c r="A22" i="31"/>
  <c r="A21" i="31"/>
  <c r="A20" i="31"/>
  <c r="A19" i="31"/>
  <c r="A18" i="31"/>
  <c r="O2" i="31"/>
  <c r="N2" i="31"/>
  <c r="M2" i="31"/>
  <c r="L2" i="31"/>
  <c r="K2" i="31"/>
  <c r="J2" i="31"/>
  <c r="I2" i="31"/>
  <c r="H2" i="31"/>
  <c r="G2" i="31"/>
  <c r="F2" i="31"/>
  <c r="E2" i="31"/>
  <c r="D2" i="31"/>
  <c r="B2" i="31"/>
  <c r="H12" i="32"/>
  <c r="C3" i="32"/>
  <c r="A1" i="32"/>
  <c r="B12" i="32"/>
  <c r="A23" i="32"/>
  <c r="A22" i="32"/>
  <c r="A21" i="32"/>
  <c r="A20" i="32"/>
  <c r="A19" i="32"/>
  <c r="A18" i="32"/>
  <c r="O2" i="32"/>
  <c r="N2" i="32"/>
  <c r="M2" i="32"/>
  <c r="L2" i="32"/>
  <c r="K2" i="32"/>
  <c r="J2" i="32"/>
  <c r="I2" i="32"/>
  <c r="H2" i="32"/>
  <c r="G2" i="32"/>
  <c r="F2" i="32"/>
  <c r="E2" i="32"/>
  <c r="D2" i="32"/>
  <c r="B2" i="32"/>
  <c r="B12" i="38"/>
  <c r="A1" i="38"/>
  <c r="O2" i="38"/>
  <c r="N2" i="38"/>
  <c r="M2" i="38"/>
  <c r="L2" i="38"/>
  <c r="K2" i="38"/>
  <c r="J2" i="38"/>
  <c r="I2" i="38"/>
  <c r="H2" i="38"/>
  <c r="G2" i="38"/>
  <c r="F2" i="38"/>
  <c r="E2" i="38"/>
  <c r="D2" i="38"/>
  <c r="B2" i="38"/>
  <c r="C3" i="34"/>
  <c r="H12" i="34"/>
  <c r="B12" i="34"/>
  <c r="A1" i="34"/>
  <c r="A28" i="34"/>
  <c r="A27" i="34"/>
  <c r="A26" i="34"/>
  <c r="A25" i="34"/>
  <c r="A23" i="34"/>
  <c r="A22" i="34"/>
  <c r="A21" i="34"/>
  <c r="A20" i="34"/>
  <c r="A19" i="34"/>
  <c r="A18" i="34"/>
  <c r="O2" i="34"/>
  <c r="N2" i="34"/>
  <c r="M2" i="34"/>
  <c r="L2" i="34"/>
  <c r="K2" i="34"/>
  <c r="J2" i="34"/>
  <c r="I2" i="34"/>
  <c r="H2" i="34"/>
  <c r="G2" i="34"/>
  <c r="F2" i="34"/>
  <c r="E2" i="34"/>
  <c r="D2" i="34"/>
  <c r="B2" i="34"/>
  <c r="C3" i="33"/>
  <c r="H12" i="33"/>
  <c r="B12" i="33"/>
  <c r="A1" i="33"/>
  <c r="A28" i="33"/>
  <c r="A27" i="33"/>
  <c r="A26" i="33"/>
  <c r="A25" i="33"/>
  <c r="A23" i="33"/>
  <c r="A22" i="33"/>
  <c r="A21" i="33"/>
  <c r="A20" i="33"/>
  <c r="A19" i="33"/>
  <c r="A18" i="33"/>
  <c r="O2" i="33"/>
  <c r="N2" i="33"/>
  <c r="M2" i="33"/>
  <c r="L2" i="33"/>
  <c r="K2" i="33"/>
  <c r="J2" i="33"/>
  <c r="I2" i="33"/>
  <c r="H2" i="33"/>
  <c r="G2" i="33"/>
  <c r="F2" i="33"/>
  <c r="E2" i="33"/>
  <c r="D2" i="33"/>
  <c r="B2" i="33"/>
  <c r="B12" i="39"/>
  <c r="A1" i="39"/>
  <c r="O2" i="39"/>
  <c r="N2" i="39"/>
  <c r="M2" i="39"/>
  <c r="L2" i="39"/>
  <c r="K2" i="39"/>
  <c r="J2" i="39"/>
  <c r="I2" i="39"/>
  <c r="H2" i="39"/>
  <c r="G2" i="39"/>
  <c r="F2" i="39"/>
  <c r="E2" i="39"/>
  <c r="D2" i="39"/>
  <c r="B2" i="39"/>
  <c r="C3" i="35"/>
  <c r="H12" i="35"/>
  <c r="B12" i="35"/>
  <c r="A1" i="35"/>
  <c r="A28" i="35"/>
  <c r="A27" i="35"/>
  <c r="A26" i="35"/>
  <c r="A25" i="35"/>
  <c r="A23" i="35"/>
  <c r="A22" i="35"/>
  <c r="A21" i="35"/>
  <c r="A20" i="35"/>
  <c r="A19" i="35"/>
  <c r="A18" i="35"/>
  <c r="O2" i="35"/>
  <c r="N2" i="35"/>
  <c r="M2" i="35"/>
  <c r="L2" i="35"/>
  <c r="K2" i="35"/>
  <c r="J2" i="35"/>
  <c r="I2" i="35"/>
  <c r="H2" i="35"/>
  <c r="G2" i="35"/>
  <c r="F2" i="35"/>
  <c r="E2" i="35"/>
  <c r="D2" i="35"/>
  <c r="B2" i="35"/>
  <c r="A27" i="4" l="1"/>
  <c r="A30" i="4"/>
  <c r="A31" i="4"/>
  <c r="A32" i="4"/>
  <c r="A33" i="4"/>
  <c r="A34" i="4"/>
  <c r="A35" i="4"/>
  <c r="A36" i="4"/>
  <c r="A29" i="4"/>
  <c r="AU17" i="4"/>
  <c r="X17" i="4"/>
  <c r="AW17" i="4" s="1"/>
  <c r="AV17" i="4"/>
  <c r="Y17" i="4"/>
  <c r="AX17" i="4" l="1"/>
  <c r="Z17" i="4"/>
  <c r="AA17" i="4" l="1"/>
  <c r="AY17" i="4"/>
  <c r="AZ17" i="4" l="1"/>
  <c r="AB17" i="4"/>
  <c r="AC17" i="4" l="1"/>
  <c r="BA17" i="4"/>
  <c r="BB17" i="4" l="1"/>
  <c r="AD17" i="4"/>
  <c r="AE17" i="4" l="1"/>
  <c r="BC17" i="4"/>
  <c r="BD17" i="4" l="1"/>
  <c r="AF17" i="4"/>
  <c r="AG17" i="4" l="1"/>
  <c r="BE17" i="4"/>
  <c r="BF17" i="4" l="1"/>
  <c r="AH17" i="4"/>
  <c r="AI17" i="4" l="1"/>
  <c r="BG17" i="4"/>
  <c r="BH17" i="4" l="1"/>
  <c r="AJ17" i="4"/>
  <c r="AK17" i="4" l="1"/>
  <c r="BI17" i="4"/>
  <c r="BJ17" i="4" l="1"/>
  <c r="AL17" i="4"/>
  <c r="AM17" i="4" l="1"/>
  <c r="BK17" i="4"/>
  <c r="BL17" i="4" l="1"/>
  <c r="AN17" i="4"/>
  <c r="AO17" i="4" l="1"/>
  <c r="BM17" i="4"/>
  <c r="BN17" i="4" l="1"/>
  <c r="AP17" i="4"/>
  <c r="BO17" i="4" s="1"/>
</calcChain>
</file>

<file path=xl/sharedStrings.xml><?xml version="1.0" encoding="utf-8"?>
<sst xmlns="http://schemas.openxmlformats.org/spreadsheetml/2006/main" count="1916" uniqueCount="289">
  <si>
    <t>Functions of cells by colour:</t>
  </si>
  <si>
    <t>For the TABLE:</t>
  </si>
  <si>
    <t xml:space="preserve"> INPUT; in effect immediately </t>
  </si>
  <si>
    <t>NaCl=-21.493+SQRT(21.493^2+8192.7*(1-aw)</t>
  </si>
  <si>
    <t xml:space="preserve"> INPUT; in effect only after update</t>
  </si>
  <si>
    <t>from:</t>
  </si>
  <si>
    <t>Aw=1-((NaCl+21.493)^2-(21.493)^2)/8192.7</t>
  </si>
  <si>
    <t>OUTPUT; Predicted kinetic parameters</t>
  </si>
  <si>
    <t>to:</t>
  </si>
  <si>
    <t>step:</t>
  </si>
  <si>
    <t>time interval of prediction:</t>
  </si>
  <si>
    <t>n=</t>
  </si>
  <si>
    <t>lag /</t>
  </si>
  <si>
    <t>min.</t>
  </si>
  <si>
    <t>max.</t>
  </si>
  <si>
    <t>organ-</t>
  </si>
  <si>
    <t xml:space="preserve">Initial                 </t>
  </si>
  <si>
    <t>shoulder</t>
  </si>
  <si>
    <t>dblt/D-val</t>
  </si>
  <si>
    <t>max</t>
  </si>
  <si>
    <t>conc.</t>
  </si>
  <si>
    <t>ism</t>
  </si>
  <si>
    <t>phys.st.</t>
  </si>
  <si>
    <t xml:space="preserve">  environmental factors ==&gt;</t>
  </si>
  <si>
    <t>rescaled environmental factors --&gt;</t>
  </si>
  <si>
    <t>p(growth)</t>
  </si>
  <si>
    <t>lag/sh</t>
  </si>
  <si>
    <t>dtm/D</t>
  </si>
  <si>
    <t>sp.rate</t>
  </si>
  <si>
    <r>
      <t>c</t>
    </r>
    <r>
      <rPr>
        <b/>
        <vertAlign val="subscript"/>
        <sz val="9"/>
        <rFont val="CG Times"/>
        <family val="1"/>
      </rPr>
      <t>max</t>
    </r>
  </si>
  <si>
    <t>org.</t>
  </si>
  <si>
    <t>inoc</t>
  </si>
  <si>
    <r>
      <t>a</t>
    </r>
    <r>
      <rPr>
        <b/>
        <vertAlign val="subscript"/>
        <sz val="9"/>
        <rFont val="CG Times"/>
        <family val="1"/>
      </rPr>
      <t>0</t>
    </r>
  </si>
  <si>
    <t>temp</t>
  </si>
  <si>
    <t>pH</t>
  </si>
  <si>
    <r>
      <t>a</t>
    </r>
    <r>
      <rPr>
        <b/>
        <vertAlign val="subscript"/>
        <sz val="9"/>
        <rFont val="CG Times"/>
        <family val="1"/>
      </rPr>
      <t>w</t>
    </r>
  </si>
  <si>
    <t>NaCl</t>
  </si>
  <si>
    <t>CO_2</t>
  </si>
  <si>
    <t>nitr</t>
  </si>
  <si>
    <t>acet</t>
  </si>
  <si>
    <t>lact</t>
  </si>
  <si>
    <t>sorb</t>
  </si>
  <si>
    <t>ef_1</t>
  </si>
  <si>
    <t>ef_2</t>
  </si>
  <si>
    <t>ef_3</t>
  </si>
  <si>
    <t>tr</t>
  </si>
  <si>
    <t>pr</t>
  </si>
  <si>
    <t>bw</t>
  </si>
  <si>
    <t>NCr</t>
  </si>
  <si>
    <t>Cr</t>
  </si>
  <si>
    <t>nr</t>
  </si>
  <si>
    <t>aar</t>
  </si>
  <si>
    <t>lar</t>
  </si>
  <si>
    <t>sar</t>
  </si>
  <si>
    <t>e10r</t>
  </si>
  <si>
    <t>e11r</t>
  </si>
  <si>
    <t>e12r</t>
  </si>
  <si>
    <t>(h)</t>
  </si>
  <si>
    <t>(h/logc)</t>
  </si>
  <si>
    <t>(1/h)</t>
  </si>
  <si>
    <t>(logc)</t>
  </si>
  <si>
    <t>( - )</t>
  </si>
  <si>
    <t>(°C)</t>
  </si>
  <si>
    <t>( % )</t>
  </si>
  <si>
    <t>ppm</t>
  </si>
  <si>
    <t>time</t>
  </si>
  <si>
    <t>Bt</t>
  </si>
  <si>
    <t>y1</t>
  </si>
  <si>
    <t>Lm</t>
  </si>
  <si>
    <t>y2</t>
  </si>
  <si>
    <t>SEC</t>
  </si>
  <si>
    <t>aw</t>
  </si>
  <si>
    <t>M</t>
  </si>
  <si>
    <t>y3</t>
  </si>
  <si>
    <t>y4</t>
  </si>
  <si>
    <t>Code</t>
  </si>
  <si>
    <t>Organism</t>
  </si>
  <si>
    <t>env.factors</t>
  </si>
  <si>
    <t>Remarks</t>
  </si>
  <si>
    <t>Ah</t>
  </si>
  <si>
    <t>Aeromonas hydrophila</t>
  </si>
  <si>
    <t>(temp, pH, aw)</t>
  </si>
  <si>
    <t>Bc</t>
  </si>
  <si>
    <t>Bacillus cereus</t>
  </si>
  <si>
    <t>Bc_C</t>
  </si>
  <si>
    <r>
      <t xml:space="preserve">Bacillus cereus </t>
    </r>
    <r>
      <rPr>
        <b/>
        <sz val="10"/>
        <rFont val="MS Sans Serif"/>
        <family val="2"/>
      </rPr>
      <t>+ CO_2</t>
    </r>
  </si>
  <si>
    <t>(temp, pH, aw,CO_2)</t>
  </si>
  <si>
    <t>Bl</t>
  </si>
  <si>
    <t>Bacillus licheniformis</t>
  </si>
  <si>
    <t>Bs</t>
  </si>
  <si>
    <t>Bacillus subtilis</t>
  </si>
  <si>
    <t xml:space="preserve">Brochothrix thermosphacta </t>
  </si>
  <si>
    <t>Cbn</t>
  </si>
  <si>
    <r>
      <t xml:space="preserve">Clostridium botulinum </t>
    </r>
    <r>
      <rPr>
        <b/>
        <sz val="10"/>
        <rFont val="MS Sans Serif"/>
        <family val="2"/>
      </rPr>
      <t>(non.prot)</t>
    </r>
  </si>
  <si>
    <t>Cbp</t>
  </si>
  <si>
    <r>
      <t xml:space="preserve">Clostridium botulinum </t>
    </r>
    <r>
      <rPr>
        <b/>
        <sz val="10"/>
        <rFont val="MS Sans Serif"/>
        <family val="2"/>
      </rPr>
      <t>(prot)</t>
    </r>
  </si>
  <si>
    <t>Cp</t>
  </si>
  <si>
    <t>Clostridium perfringens</t>
  </si>
  <si>
    <t>Ec</t>
  </si>
  <si>
    <r>
      <t>Escheria coli</t>
    </r>
    <r>
      <rPr>
        <b/>
        <sz val="10"/>
        <rFont val="MS Sans Serif"/>
        <family val="2"/>
      </rPr>
      <t xml:space="preserve"> 0157</t>
    </r>
  </si>
  <si>
    <t>Ec_C</t>
  </si>
  <si>
    <r>
      <t>Escheria coli</t>
    </r>
    <r>
      <rPr>
        <b/>
        <sz val="10"/>
        <rFont val="MS Sans Serif"/>
        <family val="2"/>
      </rPr>
      <t xml:space="preserve"> 0157 + CO_2</t>
    </r>
  </si>
  <si>
    <t>Listeria monocytogenes</t>
  </si>
  <si>
    <t>Lm_C</t>
  </si>
  <si>
    <r>
      <t>Listeria monocytogenes</t>
    </r>
    <r>
      <rPr>
        <b/>
        <sz val="10"/>
        <rFont val="MS Sans Serif"/>
        <family val="2"/>
      </rPr>
      <t xml:space="preserve"> + CO_2</t>
    </r>
  </si>
  <si>
    <t>(temp, pH, aw, CO_2)</t>
  </si>
  <si>
    <t>Lm_N</t>
  </si>
  <si>
    <r>
      <t xml:space="preserve">Listeria monocytogenes </t>
    </r>
    <r>
      <rPr>
        <b/>
        <sz val="10"/>
        <rFont val="MS Sans Serif"/>
        <family val="2"/>
      </rPr>
      <t>+ Nitrite</t>
    </r>
  </si>
  <si>
    <t>(temp, pH, aw, NaNO_2)</t>
  </si>
  <si>
    <t>Lm_L</t>
  </si>
  <si>
    <r>
      <t>Listeria monocytogenes</t>
    </r>
    <r>
      <rPr>
        <b/>
        <sz val="10"/>
        <rFont val="MS Sans Serif"/>
        <family val="2"/>
      </rPr>
      <t xml:space="preserve"> + Lactic</t>
    </r>
  </si>
  <si>
    <t>(temp, pH, aw, Lactic)</t>
  </si>
  <si>
    <t>Lm_A</t>
  </si>
  <si>
    <r>
      <t xml:space="preserve">Listeria monocytogenes </t>
    </r>
    <r>
      <rPr>
        <b/>
        <sz val="10"/>
        <rFont val="MS Sans Serif"/>
        <family val="2"/>
      </rPr>
      <t>+ Acetic</t>
    </r>
  </si>
  <si>
    <t>(temp, pH, aw, acetic acid)</t>
  </si>
  <si>
    <t>Sa</t>
  </si>
  <si>
    <t>Staphylococcus aureas</t>
  </si>
  <si>
    <t>Sc</t>
  </si>
  <si>
    <t>Saccharomyces cerevisiae</t>
  </si>
  <si>
    <t>(pH,aw)</t>
  </si>
  <si>
    <t>Ss</t>
  </si>
  <si>
    <t>Salmonellae</t>
  </si>
  <si>
    <t>Ss_C</t>
  </si>
  <si>
    <t>Salmonellae + CO_2</t>
  </si>
  <si>
    <t>Ss_N</t>
  </si>
  <si>
    <t>Salmonellae + Nitrite</t>
  </si>
  <si>
    <t>Ye</t>
  </si>
  <si>
    <t>Yersinia enterocolitica</t>
  </si>
  <si>
    <t>Ye_C</t>
  </si>
  <si>
    <r>
      <t xml:space="preserve">Yersinia enterocolitica </t>
    </r>
    <r>
      <rPr>
        <b/>
        <sz val="10"/>
        <rFont val="MS Sans Serif"/>
        <family val="2"/>
      </rPr>
      <t>+ CO_2</t>
    </r>
  </si>
  <si>
    <t>Ye_L</t>
  </si>
  <si>
    <r>
      <t xml:space="preserve">Yersinia enterocolitica </t>
    </r>
    <r>
      <rPr>
        <b/>
        <sz val="10"/>
        <rFont val="MS Sans Serif"/>
        <family val="2"/>
      </rPr>
      <t>+ Lactic</t>
    </r>
  </si>
  <si>
    <t>(temp, pH, lact)</t>
  </si>
  <si>
    <t>NaCl=0.5 const</t>
  </si>
  <si>
    <t>Ye_A</t>
  </si>
  <si>
    <r>
      <t>Yersinia enterocolitica</t>
    </r>
    <r>
      <rPr>
        <b/>
        <sz val="10"/>
        <rFont val="MS Sans Serif"/>
        <family val="2"/>
      </rPr>
      <t xml:space="preserve"> + Acetic</t>
    </r>
  </si>
  <si>
    <t>(temp, pH, acet)</t>
  </si>
  <si>
    <t>Bs(glyc)</t>
  </si>
  <si>
    <r>
      <t>Bacillus subtilis</t>
    </r>
    <r>
      <rPr>
        <b/>
        <sz val="10"/>
        <rFont val="MS Sans Serif"/>
        <family val="2"/>
      </rPr>
      <t xml:space="preserve"> (aw: with glycerol)</t>
    </r>
  </si>
  <si>
    <t>Ps</t>
  </si>
  <si>
    <t>Pseudomonads</t>
  </si>
  <si>
    <t>(temp, pH)</t>
  </si>
  <si>
    <t>Bt_d</t>
  </si>
  <si>
    <r>
      <t xml:space="preserve">Brochothrix thermosphacta </t>
    </r>
    <r>
      <rPr>
        <b/>
        <sz val="10"/>
        <rFont val="MS Sans Serif"/>
        <family val="2"/>
      </rPr>
      <t>death</t>
    </r>
  </si>
  <si>
    <t>(temp,pH)</t>
  </si>
  <si>
    <t>FLAIR.  NaCl had no effect between 0 and 2 %.</t>
  </si>
  <si>
    <t>Terminology</t>
  </si>
  <si>
    <t>active row:</t>
  </si>
  <si>
    <t>the row of the cursor</t>
  </si>
  <si>
    <t>Region:</t>
  </si>
  <si>
    <t>Consecutive rows enclosed by the active row and  the first row after, where 'Organism' changes</t>
  </si>
  <si>
    <t>SEC:</t>
  </si>
  <si>
    <t>Strict Extrapolation Check based on the minimum convex region of the raw data</t>
  </si>
  <si>
    <t>SEC is not in effect on the first six curves, only on the table.</t>
  </si>
  <si>
    <r>
      <t xml:space="preserve">EXTRAPOLATION   IS   IN   </t>
    </r>
    <r>
      <rPr>
        <i/>
        <sz val="10"/>
        <rFont val="Times New Roman"/>
        <family val="1"/>
      </rPr>
      <t>ITALICS</t>
    </r>
  </si>
  <si>
    <t>Notations</t>
  </si>
  <si>
    <t>unit</t>
  </si>
  <si>
    <t>t:</t>
  </si>
  <si>
    <t>conc:</t>
  </si>
  <si>
    <t xml:space="preserve">cell concentration </t>
  </si>
  <si>
    <t>(logc=log10cfu/ml)</t>
  </si>
  <si>
    <t>y1...y6:</t>
  </si>
  <si>
    <t>first six predicted logcount-curves plotted</t>
  </si>
  <si>
    <t>Initial phys.st:</t>
  </si>
  <si>
    <r>
      <t>initial physiological state at the beginning of observation (</t>
    </r>
    <r>
      <rPr>
        <sz val="10"/>
        <rFont val="Symbol"/>
        <family val="1"/>
        <charset val="2"/>
      </rPr>
      <t>a</t>
    </r>
    <r>
      <rPr>
        <vertAlign val="subscript"/>
        <sz val="10"/>
        <rFont val="Times New Roman"/>
        <family val="1"/>
      </rPr>
      <t>0</t>
    </r>
    <r>
      <rPr>
        <sz val="10"/>
        <rFont val="Times New Roman"/>
        <family val="1"/>
      </rPr>
      <t>)</t>
    </r>
  </si>
  <si>
    <t xml:space="preserve">(-) </t>
  </si>
  <si>
    <t>inoc:</t>
  </si>
  <si>
    <t>concentration at the beginning of observation</t>
  </si>
  <si>
    <r>
      <t>c</t>
    </r>
    <r>
      <rPr>
        <b/>
        <vertAlign val="subscript"/>
        <sz val="10"/>
        <rFont val="Times New Roman"/>
        <family val="1"/>
      </rPr>
      <t>max</t>
    </r>
    <r>
      <rPr>
        <b/>
        <sz val="10"/>
        <rFont val="Times New Roman"/>
        <family val="1"/>
      </rPr>
      <t>:</t>
    </r>
  </si>
  <si>
    <t xml:space="preserve">maximum concentration,  calculated with growth only </t>
  </si>
  <si>
    <t>sp.rate:</t>
  </si>
  <si>
    <t>maximum specific growth rate (positive) / death rate (negative)</t>
  </si>
  <si>
    <t>(1/h )</t>
  </si>
  <si>
    <t>dtm/D:</t>
  </si>
  <si>
    <t>minimum doubling time (growth) /  D-value (decay)</t>
  </si>
  <si>
    <t>(h  )</t>
  </si>
  <si>
    <t>lag/sh:</t>
  </si>
  <si>
    <t>lag (growth) / shoulder (decay)</t>
  </si>
  <si>
    <t>time to n log10 incr./decr.  (with the lag/shldr)</t>
  </si>
  <si>
    <t>temp:</t>
  </si>
  <si>
    <t>temperature</t>
  </si>
  <si>
    <t>pH:</t>
  </si>
  <si>
    <t>(-)</t>
  </si>
  <si>
    <r>
      <t>a</t>
    </r>
    <r>
      <rPr>
        <b/>
        <vertAlign val="subscript"/>
        <sz val="10"/>
        <rFont val="Times New Roman"/>
        <family val="1"/>
      </rPr>
      <t xml:space="preserve">w </t>
    </r>
    <r>
      <rPr>
        <b/>
        <sz val="10"/>
        <rFont val="Times New Roman"/>
        <family val="1"/>
      </rPr>
      <t>:</t>
    </r>
  </si>
  <si>
    <t>water activity</t>
  </si>
  <si>
    <t>acet:</t>
  </si>
  <si>
    <t>total added acetic acid</t>
  </si>
  <si>
    <t>(ppm)</t>
  </si>
  <si>
    <t>lact:</t>
  </si>
  <si>
    <t>total added lactic acid</t>
  </si>
  <si>
    <t>sorb:</t>
  </si>
  <si>
    <t>total added sorbic acid</t>
  </si>
  <si>
    <t>prop:</t>
  </si>
  <si>
    <t>total added propionic acid</t>
  </si>
  <si>
    <t>CO_2:</t>
  </si>
  <si>
    <t>carbon dioxide</t>
  </si>
  <si>
    <t>(%)</t>
  </si>
  <si>
    <t>nitr:</t>
  </si>
  <si>
    <r>
      <t>added nitrite (NaNO</t>
    </r>
    <r>
      <rPr>
        <vertAlign val="subscript"/>
        <sz val="10"/>
        <rFont val="Times New Roman"/>
        <family val="1"/>
      </rPr>
      <t>2</t>
    </r>
    <r>
      <rPr>
        <sz val="10"/>
        <rFont val="Times New Roman"/>
        <family val="1"/>
      </rPr>
      <t>)</t>
    </r>
  </si>
  <si>
    <r>
      <t>a</t>
    </r>
    <r>
      <rPr>
        <vertAlign val="subscript"/>
        <sz val="10"/>
        <rFont val="Times New Roman"/>
        <family val="1"/>
      </rPr>
      <t>0</t>
    </r>
  </si>
  <si>
    <t>default</t>
  </si>
  <si>
    <t xml:space="preserve"> =1-NaCl*(5.2471+0.12206*NaCl)/1000</t>
  </si>
  <si>
    <t>lower</t>
  </si>
  <si>
    <t>upper</t>
  </si>
  <si>
    <t>modelCode</t>
  </si>
  <si>
    <t>e1r</t>
  </si>
  <si>
    <t>e2r</t>
  </si>
  <si>
    <t>e3r</t>
  </si>
  <si>
    <t xml:space="preserve"> =temp</t>
  </si>
  <si>
    <t xml:space="preserve"> =pH</t>
  </si>
  <si>
    <t xml:space="preserve"> =IF(aw&gt;0,SQRT(1-aw),SQRT(NaCl*(5.2471+0.12206*NaCl)/1000))</t>
  </si>
  <si>
    <t xml:space="preserve"> </t>
  </si>
  <si>
    <t>Z-values</t>
  </si>
  <si>
    <r>
      <t>m</t>
    </r>
    <r>
      <rPr>
        <b/>
        <vertAlign val="subscript"/>
        <sz val="10"/>
        <rFont val="MS Sans Serif"/>
        <family val="2"/>
      </rPr>
      <t>max</t>
    </r>
  </si>
  <si>
    <r>
      <t>c</t>
    </r>
    <r>
      <rPr>
        <b/>
        <vertAlign val="subscript"/>
        <sz val="10"/>
        <rFont val="MS Sans Serif"/>
        <family val="2"/>
      </rPr>
      <t>max</t>
    </r>
  </si>
  <si>
    <t>se(link)</t>
  </si>
  <si>
    <t>model</t>
  </si>
  <si>
    <t>Intercept</t>
  </si>
  <si>
    <t>Tmin</t>
  </si>
  <si>
    <t>E_T</t>
  </si>
  <si>
    <t>pHmin</t>
  </si>
  <si>
    <t>E_pH</t>
  </si>
  <si>
    <t>tr*pr</t>
  </si>
  <si>
    <t>Aw_min</t>
  </si>
  <si>
    <t>E_aw</t>
  </si>
  <si>
    <t>tr*bw</t>
  </si>
  <si>
    <t>E_T*E_pH</t>
  </si>
  <si>
    <t>pr*bw</t>
  </si>
  <si>
    <t>E_T*E_aw</t>
  </si>
  <si>
    <t>tr^2</t>
  </si>
  <si>
    <t>E_pH*E_aw</t>
  </si>
  <si>
    <t>pr^2</t>
  </si>
  <si>
    <t>E_T*E_pH*E_aw</t>
  </si>
  <si>
    <t>bw^2</t>
  </si>
  <si>
    <t>Model_MCP</t>
  </si>
  <si>
    <t>Growth_MCP</t>
  </si>
  <si>
    <t>No_growth_MCP</t>
  </si>
  <si>
    <t>Probability_Model_MCP</t>
  </si>
  <si>
    <t>formula</t>
  </si>
  <si>
    <t>pred</t>
  </si>
  <si>
    <t xml:space="preserve"> =CO_2</t>
  </si>
  <si>
    <t>tr*Cr</t>
  </si>
  <si>
    <t>pr*Cr</t>
  </si>
  <si>
    <t>bw*Cr</t>
  </si>
  <si>
    <t>Cr^2</t>
  </si>
  <si>
    <t xml:space="preserve"> =SQRT(1-aw)</t>
  </si>
  <si>
    <t xml:space="preserve"> =nitr</t>
  </si>
  <si>
    <t>tr*nr</t>
  </si>
  <si>
    <t>pr*nr</t>
  </si>
  <si>
    <t>bw*nr</t>
  </si>
  <si>
    <t>nr^2</t>
  </si>
  <si>
    <t xml:space="preserve"> =lact</t>
  </si>
  <si>
    <t>tr*lar</t>
  </si>
  <si>
    <t>pr*lar</t>
  </si>
  <si>
    <t>bw*lar</t>
  </si>
  <si>
    <t>lar^2</t>
  </si>
  <si>
    <t xml:space="preserve"> =acet</t>
  </si>
  <si>
    <t>tr*aar</t>
  </si>
  <si>
    <t>pr*aar</t>
  </si>
  <si>
    <t>bw*aar</t>
  </si>
  <si>
    <t>aar^2</t>
  </si>
  <si>
    <t>R2:</t>
  </si>
  <si>
    <t>se:</t>
  </si>
  <si>
    <t>af:</t>
  </si>
  <si>
    <r>
      <t>a</t>
    </r>
    <r>
      <rPr>
        <b/>
        <vertAlign val="subscript"/>
        <sz val="10"/>
        <rFont val="MS Sans Serif"/>
        <family val="2"/>
      </rPr>
      <t>0</t>
    </r>
  </si>
  <si>
    <t>=exp(-37.3+0.737*temp)</t>
  </si>
  <si>
    <t>=11-0.2*temp</t>
  </si>
  <si>
    <t>b</t>
  </si>
  <si>
    <t>T0</t>
  </si>
  <si>
    <t>pHopt</t>
  </si>
  <si>
    <t>cpH</t>
  </si>
  <si>
    <t>bwopt</t>
  </si>
  <si>
    <t>cbw</t>
  </si>
  <si>
    <t>cCO_2</t>
  </si>
  <si>
    <t>Tn</t>
  </si>
  <si>
    <t>probability of growth</t>
  </si>
  <si>
    <t>in days:</t>
  </si>
  <si>
    <t>EXTRAPOLATION   IS   IN   ITALICS</t>
  </si>
  <si>
    <t>József Baranyi, Inst. Food Research</t>
  </si>
  <si>
    <t xml:space="preserve">SEC: Strict Extrapolation Check </t>
  </si>
  <si>
    <t xml:space="preserve">    based on the minimum convex region of data</t>
  </si>
  <si>
    <t xml:space="preserve">    in effect only in the table.</t>
  </si>
  <si>
    <t>y10</t>
  </si>
  <si>
    <t>NG</t>
  </si>
  <si>
    <t>cmax</t>
  </si>
  <si>
    <t>MUmax</t>
  </si>
  <si>
    <t>a0</t>
  </si>
  <si>
    <t>Ss_Ef</t>
  </si>
  <si>
    <t>Predictions based on ComBase data</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</si>
</sst>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
    <numFmt numFmtId="165" formatCode="0.000E+00"/>
    <numFmt numFmtId="166" formatCode="0.E+00"/>
    <numFmt numFmtId="167" formatCode="0.0E+00"/>
  </numFmts>
  <fonts count="49">
    <font>
      <sz val="10"/>
      <name val="System"/>
    </font>
    <font>
      <sz val="10"/>
      <name val="Arial"/>
      <family val="2"/>
    </font>
    <font>
      <sz val="10"/>
      <name val="Times New Roman"/>
      <family val="1"/>
    </font>
    <font>
      <b/>
      <sz val="10"/>
      <name val="MS Sans Serif"/>
      <family val="2"/>
    </font>
    <font>
      <sz val="10"/>
      <name val="MS Sans Serif"/>
      <family val="2"/>
    </font>
    <font>
      <sz val="10"/>
      <name val="MS Sans Serif"/>
      <family val="2"/>
    </font>
    <font>
      <b/>
      <sz val="10"/>
      <name val="MS Sans Serif"/>
      <family val="2"/>
    </font>
    <font>
      <b/>
      <i/>
      <sz val="10"/>
      <name val="MS Sans Serif"/>
      <family val="2"/>
    </font>
    <font>
      <b/>
      <sz val="10"/>
      <name val="Times New Roman"/>
      <family val="1"/>
    </font>
    <font>
      <sz val="10"/>
      <name val="Courier"/>
      <family val="3"/>
    </font>
    <font>
      <vertAlign val="subscript"/>
      <sz val="10"/>
      <name val="Times New Roman"/>
      <family val="1"/>
    </font>
    <font>
      <b/>
      <sz val="10"/>
      <name val="Symbol"/>
      <family val="1"/>
      <charset val="2"/>
    </font>
    <font>
      <b/>
      <vertAlign val="subscript"/>
      <sz val="10"/>
      <name val="Times New Roman"/>
      <family val="1"/>
    </font>
    <font>
      <b/>
      <vertAlign val="subscript"/>
      <sz val="10"/>
      <name val="MS Sans Serif"/>
      <family val="2"/>
    </font>
    <font>
      <sz val="10"/>
      <name val="Symbol"/>
      <family val="1"/>
      <charset val="2"/>
    </font>
    <font>
      <i/>
      <sz val="10"/>
      <name val="Times New Roman"/>
      <family val="1"/>
    </font>
    <font>
      <sz val="8"/>
      <name val="Tahoma"/>
      <family val="2"/>
    </font>
    <font>
      <i/>
      <sz val="10"/>
      <name val="MS Sans Serif"/>
      <family val="2"/>
    </font>
    <font>
      <sz val="8.5"/>
      <name val="CG Times"/>
      <family val="1"/>
    </font>
    <font>
      <sz val="10"/>
      <name val="CG Times"/>
      <family val="1"/>
    </font>
    <font>
      <b/>
      <sz val="10"/>
      <name val="CG Times"/>
      <family val="1"/>
    </font>
    <font>
      <b/>
      <i/>
      <sz val="10"/>
      <name val="CG Times"/>
      <family val="1"/>
    </font>
    <font>
      <sz val="10"/>
      <color indexed="8"/>
      <name val="CG Times"/>
      <family val="1"/>
    </font>
    <font>
      <b/>
      <sz val="10"/>
      <color indexed="8"/>
      <name val="System"/>
      <family val="2"/>
    </font>
    <font>
      <sz val="10"/>
      <name val="System"/>
      <family val="2"/>
    </font>
    <font>
      <b/>
      <sz val="10"/>
      <name val="Arial"/>
      <family val="2"/>
    </font>
    <font>
      <sz val="9"/>
      <name val="CG Times"/>
      <family val="1"/>
    </font>
    <font>
      <b/>
      <sz val="9"/>
      <name val="CG Times"/>
      <family val="1"/>
    </font>
    <font>
      <b/>
      <vertAlign val="subscript"/>
      <sz val="9"/>
      <name val="CG Times"/>
      <family val="1"/>
    </font>
    <font>
      <b/>
      <sz val="9"/>
      <name val="Symbol"/>
      <family val="1"/>
      <charset val="2"/>
    </font>
    <font>
      <sz val="10"/>
      <color indexed="10"/>
      <name val="MS Sans Serif"/>
      <family val="2"/>
    </font>
    <font>
      <sz val="10"/>
      <name val="System"/>
      <family val="2"/>
    </font>
    <font>
      <b/>
      <i/>
      <sz val="10"/>
      <name val="MS Sans Serif"/>
      <family val="2"/>
    </font>
    <font>
      <sz val="10"/>
      <color indexed="8"/>
      <name val="CG Times"/>
      <family val="1"/>
    </font>
    <font>
      <sz val="10"/>
      <color indexed="10"/>
      <name val="CG Times"/>
      <family val="1"/>
    </font>
    <font>
      <sz val="8"/>
      <name val="CG Times"/>
      <family val="1"/>
    </font>
    <font>
      <sz val="10"/>
      <color rgb="FF000001"/>
      <name val="CG Times"/>
      <family val="1"/>
    </font>
    <font>
      <b/>
      <i/>
      <sz val="10"/>
      <color rgb="FF000001"/>
      <name val="CG Times"/>
      <family val="1"/>
    </font>
    <font>
      <b/>
      <i/>
      <sz val="10"/>
      <color indexed="8"/>
      <name val="CG Times"/>
      <family val="1"/>
    </font>
    <font>
      <b/>
      <sz val="10"/>
      <name val="ariel"/>
    </font>
    <font>
      <b/>
      <sz val="10"/>
      <color rgb="FF000000"/>
      <name val="Trajan Pro"/>
      <family val="1"/>
    </font>
    <font>
      <b/>
      <sz val="9"/>
      <color rgb="FF000000"/>
      <name val="Times New Roman"/>
      <family val="1"/>
    </font>
    <font>
      <sz val="9"/>
      <color rgb="FF000000"/>
      <name val="Times New Roman"/>
      <family val="1"/>
    </font>
    <font>
      <b/>
      <sz val="9"/>
      <color rgb="FF000000"/>
      <name val="Times"/>
    </font>
    <font>
      <sz val="9"/>
      <color rgb="FF000000"/>
      <name val="Times"/>
    </font>
    <font>
      <sz val="10"/>
      <color rgb="FF000001"/>
      <name val="CG Times"/>
    </font>
    <font>
      <sz val="10"/>
      <color indexed="8"/>
      <name val="CG Times"/>
    </font>
    <font>
      <b/>
      <i/>
      <sz val="10"/>
      <color rgb="FF000001"/>
      <name val="CG Times"/>
    </font>
    <font>
      <b/>
      <i/>
      <sz val="10"/>
      <color indexed="8"/>
      <name val="CG Times"/>
    </font>
  </fonts>
  <fills count="8">
    <fill>
      <patternFill patternType="none"/>
    </fill>
    <fill>
      <patternFill patternType="gray125"/>
    </fill>
    <fill>
      <patternFill patternType="solid">
        <fgColor indexed="43"/>
        <bgColor indexed="64"/>
      </patternFill>
    </fill>
    <fill>
      <patternFill patternType="solid">
        <fgColor indexed="27"/>
        <bgColor indexed="64"/>
      </patternFill>
    </fill>
    <fill>
      <patternFill patternType="solid">
        <fgColor indexed="42"/>
        <bgColor indexed="64"/>
      </patternFill>
    </fill>
    <fill>
      <patternFill patternType="solid">
        <fgColor indexed="26"/>
        <bgColor indexed="64"/>
      </patternFill>
    </fill>
    <fill>
      <patternFill patternType="solid">
        <fgColor indexed="45"/>
        <bgColor indexed="64"/>
      </patternFill>
    </fill>
    <fill>
      <patternFill patternType="solid">
        <fgColor indexed="9"/>
        <bgColor indexed="64"/>
      </patternFill>
    </fill>
  </fills>
  <borders count="35">
    <border>
      <left/>
      <right/>
      <top/>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dotted">
        <color indexed="64"/>
      </right>
      <top/>
      <bottom/>
      <diagonal/>
    </border>
    <border>
      <left/>
      <right style="medium">
        <color indexed="64"/>
      </right>
      <top/>
      <bottom/>
      <diagonal/>
    </border>
    <border>
      <left style="medium">
        <color indexed="64"/>
      </left>
      <right style="thin">
        <color indexed="64"/>
      </right>
      <top/>
      <bottom style="medium">
        <color indexed="64"/>
      </bottom>
      <diagonal/>
    </border>
    <border>
      <left/>
      <right/>
      <top/>
      <bottom style="medium">
        <color indexed="64"/>
      </bottom>
      <diagonal/>
    </border>
    <border>
      <left/>
      <right style="dotted">
        <color indexed="64"/>
      </right>
      <top/>
      <bottom style="medium">
        <color indexed="64"/>
      </bottom>
      <diagonal/>
    </border>
    <border>
      <left/>
      <right style="medium">
        <color indexed="64"/>
      </right>
      <top/>
      <bottom style="medium">
        <color indexed="64"/>
      </bottom>
      <diagonal/>
    </border>
    <border>
      <left/>
      <right style="dotted">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hair">
        <color indexed="64"/>
      </right>
      <top/>
      <bottom/>
      <diagonal/>
    </border>
    <border>
      <left/>
      <right style="dashed">
        <color indexed="64"/>
      </right>
      <top/>
      <bottom/>
      <diagonal/>
    </border>
    <border>
      <left style="double">
        <color indexed="64"/>
      </left>
      <right style="dashed">
        <color indexed="64"/>
      </right>
      <top/>
      <bottom/>
      <diagonal/>
    </border>
    <border>
      <left/>
      <right/>
      <top/>
      <bottom style="thin">
        <color indexed="64"/>
      </bottom>
      <diagonal/>
    </border>
    <border>
      <left style="dashed">
        <color indexed="64"/>
      </left>
      <right/>
      <top/>
      <bottom/>
      <diagonal/>
    </border>
    <border>
      <left/>
      <right style="dashed">
        <color indexed="64"/>
      </right>
      <top/>
      <bottom style="thin">
        <color indexed="64"/>
      </bottom>
      <diagonal/>
    </border>
    <border>
      <left style="double">
        <color indexed="64"/>
      </left>
      <right style="dashed">
        <color indexed="64"/>
      </right>
      <top/>
      <bottom style="thin">
        <color indexed="64"/>
      </bottom>
      <diagonal/>
    </border>
    <border>
      <left style="dashed">
        <color indexed="64"/>
      </left>
      <right/>
      <top/>
      <bottom style="thin">
        <color indexed="64"/>
      </bottom>
      <diagonal/>
    </border>
    <border>
      <left/>
      <right style="thin">
        <color indexed="64"/>
      </right>
      <top/>
      <bottom style="thin">
        <color indexed="64"/>
      </bottom>
      <diagonal/>
    </border>
    <border>
      <left/>
      <right style="hair">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thin">
        <color indexed="64"/>
      </top>
      <bottom/>
      <diagonal/>
    </border>
    <border>
      <left/>
      <right style="dashed">
        <color indexed="64"/>
      </right>
      <top style="thin">
        <color indexed="64"/>
      </top>
      <bottom/>
      <diagonal/>
    </border>
    <border>
      <left style="double">
        <color indexed="64"/>
      </left>
      <right style="dashed">
        <color indexed="64"/>
      </right>
      <top style="thin">
        <color indexed="64"/>
      </top>
      <bottom/>
      <diagonal/>
    </border>
    <border>
      <left/>
      <right style="thin">
        <color indexed="64"/>
      </right>
      <top style="thin">
        <color indexed="64"/>
      </top>
      <bottom/>
      <diagonal/>
    </border>
    <border>
      <left/>
      <right style="hair">
        <color indexed="64"/>
      </right>
      <top style="thin">
        <color indexed="64"/>
      </top>
      <bottom/>
      <diagonal/>
    </border>
  </borders>
  <cellStyleXfs count="6">
    <xf numFmtId="0" fontId="0" fillId="0" borderId="0"/>
    <xf numFmtId="0" fontId="9" fillId="0" borderId="0"/>
    <xf numFmtId="0" fontId="1" fillId="0" borderId="0"/>
    <xf numFmtId="0" fontId="1" fillId="0" borderId="0"/>
    <xf numFmtId="0" fontId="1" fillId="0" borderId="0"/>
    <xf numFmtId="0" fontId="24" fillId="0" borderId="0"/>
  </cellStyleXfs>
  <cellXfs count="366">
    <xf numFmtId="0" fontId="0" fillId="0" borderId="0" xfId="0"/>
    <xf numFmtId="0" fontId="2" fillId="0" borderId="0" xfId="0" applyFont="1"/>
    <xf numFmtId="0" fontId="4" fillId="0" borderId="0" xfId="0" applyFont="1" applyAlignment="1">
      <alignment horizontal="right"/>
    </xf>
    <xf numFmtId="2" fontId="7" fillId="0" borderId="0" xfId="0" applyNumberFormat="1" applyFont="1" applyAlignment="1">
      <alignment horizontal="left"/>
    </xf>
    <xf numFmtId="0" fontId="4" fillId="0" borderId="0" xfId="0" applyFont="1" applyAlignment="1">
      <alignment horizontal="left"/>
    </xf>
    <xf numFmtId="0" fontId="1" fillId="0" borderId="0" xfId="4"/>
    <xf numFmtId="0" fontId="4" fillId="0" borderId="0" xfId="4" applyFont="1"/>
    <xf numFmtId="0" fontId="6" fillId="0" borderId="0" xfId="4" applyFont="1" applyAlignment="1" applyProtection="1">
      <alignment horizontal="left"/>
    </xf>
    <xf numFmtId="0" fontId="6" fillId="0" borderId="0" xfId="4" applyFont="1" applyAlignment="1" applyProtection="1"/>
    <xf numFmtId="2" fontId="6" fillId="0" borderId="0" xfId="4" applyNumberFormat="1" applyFont="1" applyAlignment="1" applyProtection="1">
      <alignment horizontal="left"/>
    </xf>
    <xf numFmtId="0" fontId="4" fillId="0" borderId="0" xfId="4" applyFont="1" applyAlignment="1" applyProtection="1">
      <alignment horizontal="left"/>
    </xf>
    <xf numFmtId="0" fontId="4" fillId="0" borderId="0" xfId="4" applyFont="1" applyAlignment="1" applyProtection="1">
      <alignment horizontal="right"/>
    </xf>
    <xf numFmtId="0" fontId="6" fillId="0" borderId="0" xfId="4" applyFont="1"/>
    <xf numFmtId="0" fontId="4" fillId="0" borderId="0" xfId="4" applyFont="1" applyProtection="1"/>
    <xf numFmtId="2" fontId="7" fillId="0" borderId="0" xfId="4" applyNumberFormat="1" applyFont="1" applyAlignment="1">
      <alignment horizontal="left"/>
    </xf>
    <xf numFmtId="0" fontId="7" fillId="0" borderId="0" xfId="4" applyFont="1" applyProtection="1"/>
    <xf numFmtId="0" fontId="7" fillId="0" borderId="0" xfId="4" applyFont="1" applyAlignment="1">
      <alignment horizontal="left"/>
    </xf>
    <xf numFmtId="0" fontId="7" fillId="0" borderId="0" xfId="4" applyFont="1"/>
    <xf numFmtId="0" fontId="7" fillId="0" borderId="0" xfId="4" applyFont="1" applyAlignment="1" applyProtection="1">
      <alignment horizontal="left"/>
    </xf>
    <xf numFmtId="2" fontId="7" fillId="0" borderId="0" xfId="4" applyNumberFormat="1" applyFont="1"/>
    <xf numFmtId="2" fontId="7" fillId="0" borderId="0" xfId="4" applyNumberFormat="1" applyFont="1" applyProtection="1"/>
    <xf numFmtId="2" fontId="4" fillId="0" borderId="0" xfId="4" applyNumberFormat="1" applyFont="1" applyProtection="1"/>
    <xf numFmtId="0" fontId="4" fillId="0" borderId="0" xfId="0" applyNumberFormat="1" applyFont="1" applyBorder="1" applyAlignment="1">
      <alignment horizontal="right"/>
    </xf>
    <xf numFmtId="0" fontId="7" fillId="0" borderId="0" xfId="0" applyFont="1" applyAlignment="1">
      <alignment horizontal="left"/>
    </xf>
    <xf numFmtId="0" fontId="6" fillId="0" borderId="0" xfId="0" applyFont="1" applyAlignment="1">
      <alignment horizontal="right"/>
    </xf>
    <xf numFmtId="0" fontId="4" fillId="0" borderId="0" xfId="0" applyFont="1" applyBorder="1" applyAlignment="1">
      <alignment horizontal="right"/>
    </xf>
    <xf numFmtId="0" fontId="6" fillId="2" borderId="1" xfId="0" applyFont="1" applyFill="1" applyBorder="1" applyAlignment="1">
      <alignment horizontal="right"/>
    </xf>
    <xf numFmtId="0" fontId="6" fillId="2" borderId="2" xfId="0" applyFont="1" applyFill="1" applyBorder="1" applyAlignment="1">
      <alignment horizontal="right"/>
    </xf>
    <xf numFmtId="0" fontId="6" fillId="2" borderId="3" xfId="0" applyFont="1" applyFill="1" applyBorder="1" applyAlignment="1">
      <alignment horizontal="right"/>
    </xf>
    <xf numFmtId="0" fontId="6" fillId="2" borderId="4" xfId="0" applyFont="1" applyFill="1" applyBorder="1" applyAlignment="1">
      <alignment horizontal="left"/>
    </xf>
    <xf numFmtId="0" fontId="4" fillId="2" borderId="0" xfId="0" applyFont="1" applyFill="1" applyBorder="1" applyAlignment="1">
      <alignment horizontal="right"/>
    </xf>
    <xf numFmtId="0" fontId="4" fillId="2" borderId="5" xfId="0" applyFont="1" applyFill="1" applyBorder="1" applyAlignment="1">
      <alignment horizontal="left"/>
    </xf>
    <xf numFmtId="0" fontId="4" fillId="2" borderId="0" xfId="0" applyFont="1" applyFill="1" applyBorder="1" applyAlignment="1">
      <alignment horizontal="left"/>
    </xf>
    <xf numFmtId="0" fontId="4" fillId="2" borderId="6" xfId="0" applyFont="1" applyFill="1" applyBorder="1" applyAlignment="1">
      <alignment horizontal="right"/>
    </xf>
    <xf numFmtId="0" fontId="4" fillId="2" borderId="5" xfId="0" applyFont="1" applyFill="1" applyBorder="1" applyAlignment="1">
      <alignment horizontal="right"/>
    </xf>
    <xf numFmtId="0" fontId="6" fillId="2" borderId="7" xfId="0" applyFont="1" applyFill="1" applyBorder="1" applyAlignment="1">
      <alignment horizontal="left"/>
    </xf>
    <xf numFmtId="0" fontId="4" fillId="2" borderId="8" xfId="0" applyFont="1" applyFill="1" applyBorder="1" applyAlignment="1">
      <alignment horizontal="right"/>
    </xf>
    <xf numFmtId="0" fontId="4" fillId="2" borderId="9" xfId="0" applyFont="1" applyFill="1" applyBorder="1" applyAlignment="1">
      <alignment horizontal="right"/>
    </xf>
    <xf numFmtId="0" fontId="4" fillId="2" borderId="10" xfId="0" applyFont="1" applyFill="1" applyBorder="1" applyAlignment="1">
      <alignment horizontal="right"/>
    </xf>
    <xf numFmtId="0" fontId="4" fillId="2" borderId="1" xfId="0" applyFont="1" applyFill="1" applyBorder="1" applyAlignment="1">
      <alignment horizontal="right"/>
    </xf>
    <xf numFmtId="0" fontId="4" fillId="2" borderId="11" xfId="0" applyFont="1" applyFill="1" applyBorder="1" applyAlignment="1">
      <alignment horizontal="right"/>
    </xf>
    <xf numFmtId="0" fontId="6" fillId="2" borderId="8" xfId="0" applyFont="1" applyFill="1" applyBorder="1" applyAlignment="1">
      <alignment horizontal="right"/>
    </xf>
    <xf numFmtId="0" fontId="4" fillId="2" borderId="8" xfId="0" applyFont="1" applyFill="1" applyBorder="1" applyAlignment="1">
      <alignment horizontal="left"/>
    </xf>
    <xf numFmtId="0" fontId="0" fillId="2" borderId="2" xfId="0" applyFill="1" applyBorder="1"/>
    <xf numFmtId="0" fontId="0" fillId="2" borderId="12" xfId="0" applyFill="1" applyBorder="1"/>
    <xf numFmtId="0" fontId="4" fillId="2" borderId="3" xfId="0" applyFont="1" applyFill="1" applyBorder="1" applyAlignment="1">
      <alignment horizontal="right"/>
    </xf>
    <xf numFmtId="0" fontId="0" fillId="2" borderId="0" xfId="0" applyFill="1" applyBorder="1"/>
    <xf numFmtId="0" fontId="0" fillId="2" borderId="13" xfId="0" applyFill="1" applyBorder="1"/>
    <xf numFmtId="0" fontId="4" fillId="2" borderId="14" xfId="0" applyFont="1" applyFill="1" applyBorder="1" applyAlignment="1">
      <alignment horizontal="left"/>
    </xf>
    <xf numFmtId="0" fontId="0" fillId="2" borderId="8" xfId="0" applyFill="1" applyBorder="1"/>
    <xf numFmtId="0" fontId="4" fillId="2" borderId="14" xfId="0" applyFont="1" applyFill="1" applyBorder="1" applyAlignment="1">
      <alignment horizontal="right"/>
    </xf>
    <xf numFmtId="0" fontId="0" fillId="2" borderId="14" xfId="0" applyFill="1" applyBorder="1"/>
    <xf numFmtId="0" fontId="6" fillId="2" borderId="2" xfId="0" applyFont="1" applyFill="1" applyBorder="1" applyAlignment="1">
      <alignment horizontal="left"/>
    </xf>
    <xf numFmtId="0" fontId="11" fillId="2" borderId="2" xfId="0" applyFont="1" applyFill="1" applyBorder="1" applyAlignment="1">
      <alignment horizontal="left"/>
    </xf>
    <xf numFmtId="0" fontId="4" fillId="0" borderId="0" xfId="0" applyNumberFormat="1" applyFont="1" applyAlignment="1">
      <alignment horizontal="right"/>
    </xf>
    <xf numFmtId="0" fontId="5" fillId="0" borderId="0" xfId="0" applyFont="1" applyAlignment="1">
      <alignment horizontal="left"/>
    </xf>
    <xf numFmtId="0" fontId="3" fillId="2" borderId="2" xfId="0" applyFont="1" applyFill="1" applyBorder="1" applyAlignment="1">
      <alignment horizontal="right"/>
    </xf>
    <xf numFmtId="0" fontId="11" fillId="2" borderId="11" xfId="0" applyFont="1" applyFill="1" applyBorder="1" applyAlignment="1">
      <alignment horizontal="right"/>
    </xf>
    <xf numFmtId="2" fontId="7" fillId="0" borderId="0" xfId="4" applyNumberFormat="1" applyFont="1" applyAlignment="1" applyProtection="1">
      <alignment horizontal="left"/>
    </xf>
    <xf numFmtId="164" fontId="4" fillId="0" borderId="0" xfId="0" applyNumberFormat="1" applyFont="1" applyAlignment="1">
      <alignment horizontal="right"/>
    </xf>
    <xf numFmtId="165" fontId="4" fillId="0" borderId="0" xfId="0" applyNumberFormat="1" applyFont="1" applyAlignment="1">
      <alignment horizontal="right"/>
    </xf>
    <xf numFmtId="0" fontId="8" fillId="0" borderId="0" xfId="4" applyFont="1"/>
    <xf numFmtId="0" fontId="2" fillId="0" borderId="0" xfId="4" applyFont="1"/>
    <xf numFmtId="0" fontId="2" fillId="0" borderId="0" xfId="4" applyFont="1" applyBorder="1"/>
    <xf numFmtId="0" fontId="2" fillId="3" borderId="0" xfId="4" applyFont="1" applyFill="1" applyBorder="1"/>
    <xf numFmtId="0" fontId="2" fillId="4" borderId="0" xfId="4" applyFont="1" applyFill="1" applyAlignment="1" applyProtection="1">
      <alignment horizontal="left"/>
    </xf>
    <xf numFmtId="0" fontId="2" fillId="4" borderId="0" xfId="4" applyFont="1" applyFill="1" applyAlignment="1" applyProtection="1">
      <alignment horizontal="right"/>
    </xf>
    <xf numFmtId="0" fontId="2" fillId="4" borderId="0" xfId="4" applyFont="1" applyFill="1" applyBorder="1" applyAlignment="1" applyProtection="1">
      <alignment horizontal="right"/>
    </xf>
    <xf numFmtId="0" fontId="2" fillId="5" borderId="0" xfId="4" applyNumberFormat="1" applyFont="1" applyFill="1" applyBorder="1" applyProtection="1">
      <protection hidden="1"/>
    </xf>
    <xf numFmtId="0" fontId="8" fillId="0" borderId="0" xfId="4" applyFont="1" applyAlignment="1" applyProtection="1">
      <alignment horizontal="right"/>
    </xf>
    <xf numFmtId="0" fontId="8" fillId="0" borderId="0" xfId="4" applyFont="1" applyAlignment="1">
      <alignment horizontal="right"/>
    </xf>
    <xf numFmtId="0" fontId="8" fillId="0" borderId="0" xfId="4" applyFont="1" applyAlignment="1" applyProtection="1">
      <alignment horizontal="left"/>
    </xf>
    <xf numFmtId="0" fontId="7" fillId="0" borderId="0" xfId="4" applyFont="1" applyFill="1" applyAlignment="1" applyProtection="1">
      <alignment horizontal="left"/>
    </xf>
    <xf numFmtId="2" fontId="7" fillId="0" borderId="0" xfId="4" applyNumberFormat="1" applyFont="1" applyFill="1" applyProtection="1"/>
    <xf numFmtId="0" fontId="4" fillId="0" borderId="0" xfId="4" applyFont="1" applyFill="1"/>
    <xf numFmtId="167" fontId="4" fillId="2" borderId="5" xfId="0" quotePrefix="1" applyNumberFormat="1" applyFont="1" applyFill="1" applyBorder="1" applyAlignment="1">
      <alignment horizontal="right"/>
    </xf>
    <xf numFmtId="167" fontId="4" fillId="2" borderId="5" xfId="0" applyNumberFormat="1" applyFont="1" applyFill="1" applyBorder="1" applyAlignment="1">
      <alignment horizontal="right"/>
    </xf>
    <xf numFmtId="166" fontId="4" fillId="2" borderId="5" xfId="0" applyNumberFormat="1" applyFont="1" applyFill="1" applyBorder="1" applyAlignment="1">
      <alignment horizontal="right"/>
    </xf>
    <xf numFmtId="0" fontId="5" fillId="0" borderId="0" xfId="4" applyFont="1" applyAlignment="1" applyProtection="1"/>
    <xf numFmtId="0" fontId="5" fillId="0" borderId="0" xfId="4" applyFont="1"/>
    <xf numFmtId="0" fontId="5" fillId="0" borderId="0" xfId="4" applyFont="1" applyFill="1"/>
    <xf numFmtId="0" fontId="2" fillId="0" borderId="0" xfId="4" applyFont="1" applyFill="1"/>
    <xf numFmtId="0" fontId="2" fillId="0" borderId="0" xfId="0" applyNumberFormat="1" applyFont="1" applyFill="1" applyBorder="1" applyAlignment="1">
      <alignment horizontal="left"/>
    </xf>
    <xf numFmtId="0" fontId="2" fillId="0" borderId="0" xfId="0" applyNumberFormat="1" applyFont="1" applyFill="1" applyBorder="1" applyAlignment="1">
      <alignment horizontal="right"/>
    </xf>
    <xf numFmtId="0" fontId="1" fillId="0" borderId="0" xfId="3"/>
    <xf numFmtId="9" fontId="4" fillId="0" borderId="0" xfId="0" applyNumberFormat="1" applyFont="1" applyAlignment="1">
      <alignment horizontal="right"/>
    </xf>
    <xf numFmtId="2" fontId="4" fillId="0" borderId="0" xfId="0" applyNumberFormat="1" applyFont="1" applyAlignment="1">
      <alignment horizontal="right"/>
    </xf>
    <xf numFmtId="0" fontId="6" fillId="0" borderId="0" xfId="0" applyFont="1" applyAlignment="1">
      <alignment horizontal="left"/>
    </xf>
    <xf numFmtId="0" fontId="4" fillId="0" borderId="0" xfId="0" applyFont="1" applyBorder="1" applyAlignment="1">
      <alignment horizontal="center"/>
    </xf>
    <xf numFmtId="9" fontId="4" fillId="0" borderId="0" xfId="0" applyNumberFormat="1" applyFont="1" applyBorder="1" applyAlignment="1">
      <alignment horizontal="right"/>
    </xf>
    <xf numFmtId="2" fontId="4" fillId="0" borderId="0" xfId="0" applyNumberFormat="1" applyFont="1" applyBorder="1" applyAlignment="1">
      <alignment horizontal="right"/>
    </xf>
    <xf numFmtId="0" fontId="5" fillId="0" borderId="0" xfId="0" applyNumberFormat="1" applyFont="1" applyAlignment="1">
      <alignment horizontal="right"/>
    </xf>
    <xf numFmtId="0" fontId="17" fillId="0" borderId="0" xfId="4" applyFont="1"/>
    <xf numFmtId="0" fontId="0" fillId="0" borderId="0" xfId="0" applyNumberFormat="1"/>
    <xf numFmtId="0" fontId="1" fillId="0" borderId="0" xfId="2" applyNumberFormat="1"/>
    <xf numFmtId="0" fontId="18" fillId="0" borderId="0" xfId="4" applyFont="1" applyBorder="1"/>
    <xf numFmtId="0" fontId="19" fillId="0" borderId="0" xfId="0" applyFont="1"/>
    <xf numFmtId="2" fontId="19" fillId="0" borderId="0" xfId="0" applyNumberFormat="1" applyFont="1" applyProtection="1"/>
    <xf numFmtId="0" fontId="20" fillId="0" borderId="0" xfId="0" applyFont="1" applyBorder="1" applyAlignment="1" applyProtection="1">
      <alignment horizontal="right"/>
    </xf>
    <xf numFmtId="0" fontId="19" fillId="0" borderId="0" xfId="0" applyFont="1" applyProtection="1"/>
    <xf numFmtId="0" fontId="19" fillId="0" borderId="0" xfId="0" applyFont="1" applyBorder="1"/>
    <xf numFmtId="0" fontId="19" fillId="0" borderId="0" xfId="0" applyFont="1" applyBorder="1" applyProtection="1"/>
    <xf numFmtId="0" fontId="19" fillId="0" borderId="15" xfId="0" applyFont="1" applyBorder="1" applyProtection="1"/>
    <xf numFmtId="0" fontId="19" fillId="0" borderId="13" xfId="0" applyFont="1" applyBorder="1" applyProtection="1"/>
    <xf numFmtId="2" fontId="21" fillId="0" borderId="0" xfId="0" applyNumberFormat="1" applyFont="1" applyAlignment="1">
      <alignment horizontal="left"/>
    </xf>
    <xf numFmtId="0" fontId="18" fillId="3" borderId="0" xfId="4" applyFont="1" applyFill="1" applyBorder="1"/>
    <xf numFmtId="0" fontId="18" fillId="4" borderId="0" xfId="4" applyFont="1" applyFill="1" applyAlignment="1" applyProtection="1">
      <alignment horizontal="left"/>
    </xf>
    <xf numFmtId="0" fontId="18" fillId="4" borderId="0" xfId="4" applyFont="1" applyFill="1" applyAlignment="1" applyProtection="1">
      <alignment horizontal="right"/>
    </xf>
    <xf numFmtId="0" fontId="18" fillId="4" borderId="0" xfId="4" applyFont="1" applyFill="1" applyBorder="1" applyAlignment="1" applyProtection="1">
      <alignment horizontal="right"/>
    </xf>
    <xf numFmtId="0" fontId="19" fillId="3" borderId="0" xfId="0" applyFont="1" applyFill="1"/>
    <xf numFmtId="0" fontId="18" fillId="5" borderId="0" xfId="4" applyNumberFormat="1" applyFont="1" applyFill="1" applyBorder="1" applyProtection="1">
      <protection hidden="1"/>
    </xf>
    <xf numFmtId="0" fontId="19" fillId="0" borderId="0" xfId="0" applyNumberFormat="1" applyFont="1" applyBorder="1" applyAlignment="1">
      <alignment horizontal="right"/>
    </xf>
    <xf numFmtId="0" fontId="19" fillId="6" borderId="0" xfId="0" applyFont="1" applyFill="1"/>
    <xf numFmtId="0" fontId="20" fillId="3" borderId="0" xfId="0" applyFont="1" applyFill="1" applyBorder="1" applyAlignment="1">
      <alignment horizontal="left"/>
    </xf>
    <xf numFmtId="2" fontId="19" fillId="0" borderId="0" xfId="0" applyNumberFormat="1" applyFont="1" applyBorder="1" applyProtection="1"/>
    <xf numFmtId="0" fontId="19" fillId="0" borderId="0" xfId="0" applyNumberFormat="1" applyFont="1" applyProtection="1"/>
    <xf numFmtId="1" fontId="19" fillId="0" borderId="0" xfId="0" applyNumberFormat="1" applyFont="1" applyFill="1" applyBorder="1" applyProtection="1"/>
    <xf numFmtId="1" fontId="19" fillId="0" borderId="0" xfId="0" applyNumberFormat="1" applyFont="1" applyFill="1" applyProtection="1"/>
    <xf numFmtId="0" fontId="19" fillId="0" borderId="0" xfId="0" applyFont="1" applyAlignment="1" applyProtection="1">
      <alignment horizontal="left"/>
    </xf>
    <xf numFmtId="0" fontId="19" fillId="0" borderId="0" xfId="0" applyFont="1" applyFill="1" applyBorder="1" applyAlignment="1" applyProtection="1">
      <alignment horizontal="right"/>
    </xf>
    <xf numFmtId="0" fontId="19" fillId="0" borderId="0" xfId="0" applyFont="1" applyFill="1" applyBorder="1" applyProtection="1"/>
    <xf numFmtId="0" fontId="19" fillId="0" borderId="16" xfId="0" applyFont="1" applyBorder="1"/>
    <xf numFmtId="0" fontId="19" fillId="0" borderId="17" xfId="0" applyFont="1" applyFill="1" applyBorder="1" applyAlignment="1" applyProtection="1">
      <alignment horizontal="left"/>
    </xf>
    <xf numFmtId="0" fontId="19" fillId="0" borderId="16" xfId="0" applyFont="1" applyBorder="1" applyProtection="1"/>
    <xf numFmtId="0" fontId="4" fillId="0" borderId="0" xfId="0" applyFont="1" applyAlignment="1"/>
    <xf numFmtId="0" fontId="4" fillId="0" borderId="18" xfId="0" applyFont="1" applyBorder="1" applyAlignment="1">
      <alignment horizontal="right"/>
    </xf>
    <xf numFmtId="0" fontId="4" fillId="0" borderId="0" xfId="0" applyFont="1" applyFill="1" applyAlignment="1">
      <alignment horizontal="right"/>
    </xf>
    <xf numFmtId="0" fontId="3" fillId="0" borderId="0" xfId="0" applyFont="1" applyFill="1" applyBorder="1" applyAlignment="1">
      <alignment horizontal="left"/>
    </xf>
    <xf numFmtId="0" fontId="22" fillId="0" borderId="0" xfId="0" applyFont="1" applyFill="1" applyBorder="1" applyAlignment="1" applyProtection="1">
      <alignment horizontal="right"/>
    </xf>
    <xf numFmtId="0" fontId="23" fillId="0" borderId="0" xfId="0" applyFont="1"/>
    <xf numFmtId="0" fontId="4" fillId="0" borderId="0" xfId="0" applyFont="1" applyFill="1" applyBorder="1" applyAlignment="1">
      <alignment horizontal="left"/>
    </xf>
    <xf numFmtId="0" fontId="24" fillId="0" borderId="0" xfId="0" applyFont="1"/>
    <xf numFmtId="0" fontId="25" fillId="0" borderId="0" xfId="0" applyFont="1"/>
    <xf numFmtId="0" fontId="0" fillId="0" borderId="0" xfId="0" applyProtection="1"/>
    <xf numFmtId="0" fontId="0" fillId="0" borderId="0" xfId="0" applyNumberFormat="1" applyProtection="1"/>
    <xf numFmtId="0" fontId="19" fillId="0" borderId="0" xfId="0" applyNumberFormat="1" applyFont="1" applyBorder="1" applyProtection="1"/>
    <xf numFmtId="0" fontId="19" fillId="0" borderId="0" xfId="0" applyFont="1" applyBorder="1" applyAlignment="1" applyProtection="1">
      <alignment horizontal="right"/>
    </xf>
    <xf numFmtId="1" fontId="19" fillId="0" borderId="0" xfId="0" applyNumberFormat="1" applyFont="1" applyBorder="1" applyProtection="1"/>
    <xf numFmtId="0" fontId="26" fillId="0" borderId="0" xfId="0" applyFont="1" applyAlignment="1" applyProtection="1">
      <alignment horizontal="left"/>
    </xf>
    <xf numFmtId="0" fontId="26" fillId="0" borderId="0" xfId="0" applyFont="1"/>
    <xf numFmtId="0" fontId="26" fillId="0" borderId="0" xfId="0" applyFont="1" applyBorder="1"/>
    <xf numFmtId="0" fontId="26" fillId="0" borderId="0" xfId="0" applyFont="1" applyBorder="1" applyProtection="1"/>
    <xf numFmtId="0" fontId="26" fillId="0" borderId="0" xfId="0" applyFont="1" applyProtection="1"/>
    <xf numFmtId="0" fontId="26" fillId="0" borderId="15" xfId="0" applyFont="1" applyBorder="1" applyProtection="1"/>
    <xf numFmtId="0" fontId="26" fillId="0" borderId="13" xfId="0" applyFont="1" applyBorder="1" applyProtection="1"/>
    <xf numFmtId="0" fontId="27" fillId="3" borderId="0" xfId="0" applyFont="1" applyFill="1" applyAlignment="1" applyProtection="1">
      <alignment horizontal="center"/>
    </xf>
    <xf numFmtId="0" fontId="26" fillId="0" borderId="0" xfId="0" applyFont="1" applyAlignment="1">
      <alignment horizontal="right"/>
    </xf>
    <xf numFmtId="0" fontId="26" fillId="0" borderId="16" xfId="0" applyNumberFormat="1" applyFont="1" applyBorder="1" applyAlignment="1">
      <alignment horizontal="right"/>
    </xf>
    <xf numFmtId="0" fontId="26" fillId="0" borderId="0" xfId="0" applyNumberFormat="1" applyFont="1" applyAlignment="1">
      <alignment horizontal="right"/>
    </xf>
    <xf numFmtId="0" fontId="26" fillId="0" borderId="0" xfId="0" applyFont="1" applyFill="1" applyBorder="1" applyAlignment="1" applyProtection="1">
      <alignment horizontal="right"/>
    </xf>
    <xf numFmtId="0" fontId="26" fillId="0" borderId="0" xfId="0" applyFont="1" applyAlignment="1">
      <alignment horizontal="left"/>
    </xf>
    <xf numFmtId="0" fontId="26" fillId="0" borderId="0" xfId="0" applyFont="1" applyFill="1" applyBorder="1" applyAlignment="1">
      <alignment horizontal="centerContinuous"/>
    </xf>
    <xf numFmtId="0" fontId="26" fillId="0" borderId="0" xfId="0" applyFont="1" applyAlignment="1" applyProtection="1">
      <alignment horizontal="right"/>
    </xf>
    <xf numFmtId="0" fontId="26" fillId="0" borderId="16" xfId="0" applyFont="1" applyBorder="1" applyAlignment="1" applyProtection="1">
      <alignment horizontal="right"/>
    </xf>
    <xf numFmtId="0" fontId="26" fillId="0" borderId="17" xfId="0" applyFont="1" applyFill="1" applyBorder="1" applyAlignment="1" applyProtection="1">
      <alignment horizontal="center"/>
    </xf>
    <xf numFmtId="0" fontId="26" fillId="0" borderId="0" xfId="0" applyFont="1" applyFill="1" applyBorder="1" applyAlignment="1">
      <alignment horizontal="right"/>
    </xf>
    <xf numFmtId="0" fontId="26" fillId="0" borderId="16" xfId="0" applyFont="1" applyFill="1" applyBorder="1" applyAlignment="1">
      <alignment horizontal="right"/>
    </xf>
    <xf numFmtId="0" fontId="27" fillId="0" borderId="0" xfId="0" applyFont="1" applyProtection="1"/>
    <xf numFmtId="0" fontId="26" fillId="0" borderId="15" xfId="0" applyFont="1" applyBorder="1"/>
    <xf numFmtId="0" fontId="27" fillId="0" borderId="0" xfId="0" applyFont="1" applyBorder="1" applyProtection="1"/>
    <xf numFmtId="0" fontId="27" fillId="0" borderId="13" xfId="0" applyFont="1" applyBorder="1" applyProtection="1"/>
    <xf numFmtId="0" fontId="27" fillId="0" borderId="0" xfId="0" applyFont="1" applyBorder="1"/>
    <xf numFmtId="0" fontId="27" fillId="0" borderId="0" xfId="0" applyFont="1" applyAlignment="1">
      <alignment horizontal="right"/>
    </xf>
    <xf numFmtId="0" fontId="27" fillId="0" borderId="16" xfId="0" applyFont="1" applyBorder="1" applyAlignment="1">
      <alignment horizontal="right"/>
    </xf>
    <xf numFmtId="0" fontId="27" fillId="0" borderId="0" xfId="0" applyNumberFormat="1" applyFont="1" applyAlignment="1" applyProtection="1">
      <alignment horizontal="right"/>
    </xf>
    <xf numFmtId="0" fontId="27" fillId="0" borderId="16" xfId="0" applyFont="1" applyBorder="1" applyAlignment="1" applyProtection="1">
      <alignment horizontal="right"/>
    </xf>
    <xf numFmtId="0" fontId="27" fillId="0" borderId="17" xfId="0" applyFont="1" applyFill="1" applyBorder="1" applyAlignment="1" applyProtection="1">
      <alignment horizontal="center"/>
    </xf>
    <xf numFmtId="0" fontId="27" fillId="0" borderId="19" xfId="0" applyFont="1" applyBorder="1" applyAlignment="1" applyProtection="1">
      <alignment horizontal="right"/>
    </xf>
    <xf numFmtId="0" fontId="29" fillId="0" borderId="16" xfId="0" applyFont="1" applyFill="1" applyBorder="1" applyAlignment="1">
      <alignment horizontal="center"/>
    </xf>
    <xf numFmtId="0" fontId="27" fillId="0" borderId="0" xfId="0" applyFont="1" applyAlignment="1" applyProtection="1">
      <alignment horizontal="right"/>
    </xf>
    <xf numFmtId="0" fontId="27" fillId="0" borderId="0" xfId="0" applyFont="1" applyAlignment="1" applyProtection="1">
      <alignment horizontal="center"/>
    </xf>
    <xf numFmtId="0" fontId="27" fillId="0" borderId="15" xfId="0" applyFont="1" applyBorder="1" applyAlignment="1" applyProtection="1">
      <alignment horizontal="right"/>
    </xf>
    <xf numFmtId="0" fontId="27" fillId="0" borderId="0" xfId="0" applyFont="1" applyBorder="1" applyAlignment="1" applyProtection="1">
      <alignment horizontal="right"/>
    </xf>
    <xf numFmtId="0" fontId="27" fillId="0" borderId="13" xfId="0" applyFont="1" applyBorder="1" applyAlignment="1" applyProtection="1">
      <alignment horizontal="right"/>
    </xf>
    <xf numFmtId="0" fontId="26" fillId="0" borderId="18" xfId="0" applyFont="1" applyFill="1" applyBorder="1" applyAlignment="1" applyProtection="1">
      <alignment horizontal="right"/>
    </xf>
    <xf numFmtId="0" fontId="26" fillId="0" borderId="18" xfId="0" applyNumberFormat="1" applyFont="1" applyFill="1" applyBorder="1" applyAlignment="1" applyProtection="1">
      <alignment horizontal="right"/>
    </xf>
    <xf numFmtId="0" fontId="27" fillId="0" borderId="13" xfId="0" applyFont="1" applyFill="1" applyBorder="1" applyAlignment="1" applyProtection="1">
      <alignment horizontal="right"/>
    </xf>
    <xf numFmtId="0" fontId="26" fillId="0" borderId="18" xfId="0" applyFont="1" applyBorder="1" applyAlignment="1" applyProtection="1">
      <alignment horizontal="left"/>
    </xf>
    <xf numFmtId="0" fontId="26" fillId="0" borderId="18" xfId="0" applyFont="1" applyBorder="1" applyAlignment="1" applyProtection="1">
      <alignment horizontal="right"/>
    </xf>
    <xf numFmtId="0" fontId="26" fillId="0" borderId="20" xfId="0" applyFont="1" applyBorder="1" applyAlignment="1" applyProtection="1">
      <alignment horizontal="right"/>
    </xf>
    <xf numFmtId="0" fontId="26" fillId="0" borderId="18" xfId="0" applyNumberFormat="1" applyFont="1" applyBorder="1" applyAlignment="1" applyProtection="1">
      <alignment horizontal="right"/>
    </xf>
    <xf numFmtId="0" fontId="26" fillId="0" borderId="21" xfId="0" applyFont="1" applyFill="1" applyBorder="1" applyAlignment="1" applyProtection="1">
      <alignment horizontal="right"/>
    </xf>
    <xf numFmtId="0" fontId="26" fillId="0" borderId="22" xfId="0" applyFont="1" applyBorder="1" applyAlignment="1" applyProtection="1">
      <alignment horizontal="right"/>
    </xf>
    <xf numFmtId="0" fontId="26" fillId="0" borderId="20" xfId="0" applyFont="1" applyFill="1" applyBorder="1" applyAlignment="1">
      <alignment horizontal="center"/>
    </xf>
    <xf numFmtId="0" fontId="26" fillId="0" borderId="20" xfId="0" applyFont="1" applyBorder="1" applyAlignment="1" applyProtection="1">
      <alignment horizontal="center"/>
    </xf>
    <xf numFmtId="0" fontId="26" fillId="0" borderId="18" xfId="0" applyFont="1" applyBorder="1" applyAlignment="1">
      <alignment horizontal="right"/>
    </xf>
    <xf numFmtId="0" fontId="26" fillId="0" borderId="23" xfId="0" applyFont="1" applyBorder="1" applyAlignment="1" applyProtection="1">
      <alignment horizontal="right"/>
    </xf>
    <xf numFmtId="0" fontId="26" fillId="0" borderId="23" xfId="0" applyFont="1" applyFill="1" applyBorder="1" applyAlignment="1" applyProtection="1">
      <alignment horizontal="right"/>
    </xf>
    <xf numFmtId="0" fontId="26" fillId="0" borderId="24" xfId="0" applyFont="1" applyBorder="1" applyAlignment="1" applyProtection="1">
      <alignment horizontal="right"/>
    </xf>
    <xf numFmtId="0" fontId="27" fillId="0" borderId="0" xfId="0" applyFont="1" applyAlignment="1">
      <alignment horizontal="left"/>
    </xf>
    <xf numFmtId="0" fontId="27" fillId="0" borderId="0" xfId="0" applyNumberFormat="1" applyFont="1" applyAlignment="1">
      <alignment horizontal="center"/>
    </xf>
    <xf numFmtId="0" fontId="27" fillId="0" borderId="0" xfId="0" applyNumberFormat="1" applyFont="1" applyAlignment="1">
      <alignment horizontal="right"/>
    </xf>
    <xf numFmtId="0" fontId="27" fillId="0" borderId="0" xfId="0" applyFont="1"/>
    <xf numFmtId="0" fontId="27" fillId="0" borderId="19" xfId="0" applyFont="1" applyBorder="1" applyAlignment="1" applyProtection="1">
      <alignment horizontal="left"/>
    </xf>
    <xf numFmtId="0" fontId="4" fillId="2" borderId="25" xfId="0" applyFont="1" applyFill="1" applyBorder="1" applyAlignment="1">
      <alignment horizontal="right"/>
    </xf>
    <xf numFmtId="0" fontId="4" fillId="2" borderId="26" xfId="0" applyFont="1" applyFill="1" applyBorder="1" applyAlignment="1">
      <alignment horizontal="right"/>
    </xf>
    <xf numFmtId="0" fontId="4" fillId="2" borderId="27" xfId="0" applyFont="1" applyFill="1" applyBorder="1" applyAlignment="1">
      <alignment horizontal="right"/>
    </xf>
    <xf numFmtId="0" fontId="4" fillId="2" borderId="28" xfId="0" applyFont="1" applyFill="1" applyBorder="1" applyAlignment="1">
      <alignment horizontal="right"/>
    </xf>
    <xf numFmtId="0" fontId="3" fillId="2" borderId="0" xfId="0" applyFont="1" applyFill="1" applyBorder="1" applyAlignment="1">
      <alignment horizontal="right"/>
    </xf>
    <xf numFmtId="0" fontId="4" fillId="2" borderId="29" xfId="0" applyFont="1" applyFill="1" applyBorder="1" applyAlignment="1">
      <alignment horizontal="right"/>
    </xf>
    <xf numFmtId="0" fontId="30" fillId="0" borderId="0" xfId="0" applyFont="1" applyAlignment="1">
      <alignment horizontal="right"/>
    </xf>
    <xf numFmtId="0" fontId="4" fillId="4" borderId="25" xfId="0" applyFont="1" applyFill="1" applyBorder="1" applyAlignment="1">
      <alignment horizontal="right"/>
    </xf>
    <xf numFmtId="0" fontId="4" fillId="4" borderId="26" xfId="0" applyFont="1" applyFill="1" applyBorder="1" applyAlignment="1">
      <alignment horizontal="right"/>
    </xf>
    <xf numFmtId="0" fontId="4" fillId="4" borderId="27" xfId="0" applyFont="1" applyFill="1" applyBorder="1" applyAlignment="1">
      <alignment horizontal="right"/>
    </xf>
    <xf numFmtId="0" fontId="4" fillId="4" borderId="28" xfId="0" applyFont="1" applyFill="1" applyBorder="1" applyAlignment="1">
      <alignment horizontal="right"/>
    </xf>
    <xf numFmtId="0" fontId="4" fillId="4" borderId="0" xfId="0" applyFont="1" applyFill="1" applyBorder="1" applyAlignment="1">
      <alignment horizontal="right"/>
    </xf>
    <xf numFmtId="0" fontId="3" fillId="4" borderId="0" xfId="0" applyFont="1" applyFill="1" applyBorder="1" applyAlignment="1">
      <alignment horizontal="right"/>
    </xf>
    <xf numFmtId="0" fontId="4" fillId="4" borderId="6" xfId="0" applyFont="1" applyFill="1" applyBorder="1" applyAlignment="1">
      <alignment horizontal="right"/>
    </xf>
    <xf numFmtId="0" fontId="4" fillId="4" borderId="29" xfId="0" applyFont="1" applyFill="1" applyBorder="1" applyAlignment="1">
      <alignment horizontal="right"/>
    </xf>
    <xf numFmtId="0" fontId="4" fillId="4" borderId="8" xfId="0" applyFont="1" applyFill="1" applyBorder="1" applyAlignment="1">
      <alignment horizontal="right"/>
    </xf>
    <xf numFmtId="0" fontId="4" fillId="4" borderId="10" xfId="0" applyFont="1" applyFill="1" applyBorder="1" applyAlignment="1">
      <alignment horizontal="right"/>
    </xf>
    <xf numFmtId="0" fontId="31" fillId="0" borderId="0" xfId="0" applyFont="1"/>
    <xf numFmtId="0" fontId="32" fillId="0" borderId="0" xfId="0" applyFont="1" applyAlignment="1">
      <alignment horizontal="right"/>
    </xf>
    <xf numFmtId="0" fontId="29" fillId="0" borderId="0" xfId="0" applyFont="1" applyFill="1" applyBorder="1" applyAlignment="1">
      <alignment horizontal="center"/>
    </xf>
    <xf numFmtId="0" fontId="27" fillId="0" borderId="0" xfId="0" applyFont="1" applyBorder="1" applyAlignment="1">
      <alignment horizontal="right"/>
    </xf>
    <xf numFmtId="1" fontId="27" fillId="0" borderId="0" xfId="0" applyNumberFormat="1" applyFont="1" applyBorder="1" applyAlignment="1" applyProtection="1">
      <alignment horizontal="right"/>
    </xf>
    <xf numFmtId="0" fontId="33" fillId="0" borderId="17" xfId="0" applyNumberFormat="1" applyFont="1" applyBorder="1" applyAlignment="1" applyProtection="1">
      <alignment horizontal="right"/>
    </xf>
    <xf numFmtId="0" fontId="33" fillId="0" borderId="0" xfId="0" applyNumberFormat="1" applyFont="1" applyBorder="1" applyAlignment="1" applyProtection="1">
      <alignment horizontal="right"/>
    </xf>
    <xf numFmtId="0" fontId="33" fillId="0" borderId="0" xfId="0" applyNumberFormat="1" applyFont="1" applyAlignment="1" applyProtection="1">
      <alignment horizontal="right"/>
    </xf>
    <xf numFmtId="0" fontId="33" fillId="0" borderId="16" xfId="0" applyNumberFormat="1" applyFont="1" applyBorder="1" applyAlignment="1" applyProtection="1">
      <alignment horizontal="right"/>
    </xf>
    <xf numFmtId="0" fontId="33" fillId="0" borderId="0" xfId="0" applyNumberFormat="1" applyFont="1" applyAlignment="1">
      <alignment horizontal="right"/>
    </xf>
    <xf numFmtId="0" fontId="33" fillId="0" borderId="0" xfId="0" applyNumberFormat="1" applyFont="1" applyFill="1" applyBorder="1" applyAlignment="1">
      <alignment horizontal="right"/>
    </xf>
    <xf numFmtId="0" fontId="33" fillId="0" borderId="0" xfId="0" applyFont="1" applyFill="1" applyBorder="1" applyAlignment="1">
      <alignment horizontal="right"/>
    </xf>
    <xf numFmtId="0" fontId="33" fillId="0" borderId="0" xfId="0" applyFont="1" applyFill="1" applyAlignment="1">
      <alignment horizontal="right"/>
    </xf>
    <xf numFmtId="0" fontId="33" fillId="0" borderId="13" xfId="0" applyFont="1" applyFill="1" applyBorder="1" applyAlignment="1">
      <alignment horizontal="right"/>
    </xf>
    <xf numFmtId="0" fontId="34" fillId="0" borderId="0" xfId="0" applyNumberFormat="1" applyFont="1" applyBorder="1" applyAlignment="1" applyProtection="1">
      <alignment horizontal="right"/>
    </xf>
    <xf numFmtId="0" fontId="19" fillId="0" borderId="28" xfId="0" applyNumberFormat="1" applyFont="1" applyBorder="1" applyAlignment="1" applyProtection="1">
      <alignment horizontal="right"/>
    </xf>
    <xf numFmtId="0" fontId="33" fillId="0" borderId="0" xfId="0" applyFont="1" applyBorder="1" applyAlignment="1" applyProtection="1">
      <alignment horizontal="right"/>
    </xf>
    <xf numFmtId="0" fontId="19" fillId="0" borderId="0" xfId="0" applyNumberFormat="1" applyFont="1" applyAlignment="1" applyProtection="1">
      <alignment horizontal="right"/>
    </xf>
    <xf numFmtId="0" fontId="19" fillId="0" borderId="0" xfId="0" applyNumberFormat="1" applyFont="1" applyBorder="1" applyAlignment="1" applyProtection="1">
      <alignment horizontal="right"/>
    </xf>
    <xf numFmtId="2" fontId="19" fillId="0" borderId="0" xfId="0" applyNumberFormat="1" applyFont="1" applyBorder="1" applyAlignment="1" applyProtection="1">
      <alignment horizontal="right"/>
    </xf>
    <xf numFmtId="1" fontId="19" fillId="0" borderId="0" xfId="0" applyNumberFormat="1" applyFont="1" applyFill="1" applyBorder="1" applyAlignment="1" applyProtection="1">
      <alignment horizontal="right"/>
    </xf>
    <xf numFmtId="0" fontId="22" fillId="0" borderId="0" xfId="0" applyNumberFormat="1" applyFont="1" applyBorder="1" applyAlignment="1" applyProtection="1">
      <alignment horizontal="right"/>
    </xf>
    <xf numFmtId="2" fontId="19" fillId="0" borderId="0" xfId="0" applyNumberFormat="1" applyFont="1" applyAlignment="1">
      <alignment horizontal="right"/>
    </xf>
    <xf numFmtId="2" fontId="19" fillId="0" borderId="0" xfId="0" applyNumberFormat="1" applyFont="1" applyAlignment="1">
      <alignment horizontal="left"/>
    </xf>
    <xf numFmtId="0" fontId="35" fillId="0" borderId="0" xfId="0" applyFont="1" applyProtection="1"/>
    <xf numFmtId="0" fontId="35" fillId="0" borderId="0" xfId="4" applyFont="1"/>
    <xf numFmtId="0" fontId="35" fillId="0" borderId="0" xfId="0" applyNumberFormat="1" applyFont="1" applyBorder="1" applyAlignment="1">
      <alignment horizontal="left"/>
    </xf>
    <xf numFmtId="0" fontId="19" fillId="0" borderId="30" xfId="0" applyFont="1" applyBorder="1" applyProtection="1"/>
    <xf numFmtId="0" fontId="19" fillId="0" borderId="31" xfId="0" applyFont="1" applyBorder="1" applyProtection="1"/>
    <xf numFmtId="0" fontId="19" fillId="0" borderId="30" xfId="0" applyNumberFormat="1" applyFont="1" applyBorder="1" applyProtection="1"/>
    <xf numFmtId="2" fontId="19" fillId="0" borderId="30" xfId="0" applyNumberFormat="1" applyFont="1" applyBorder="1" applyProtection="1"/>
    <xf numFmtId="0" fontId="20" fillId="0" borderId="32" xfId="0" applyFont="1" applyFill="1" applyBorder="1" applyAlignment="1" applyProtection="1">
      <alignment horizontal="right"/>
    </xf>
    <xf numFmtId="0" fontId="19" fillId="0" borderId="33" xfId="0" applyFont="1" applyBorder="1" applyProtection="1"/>
    <xf numFmtId="0" fontId="19" fillId="0" borderId="34" xfId="0" applyFont="1" applyBorder="1" applyProtection="1"/>
    <xf numFmtId="0" fontId="36" fillId="5" borderId="0" xfId="0" applyNumberFormat="1" applyFont="1" applyFill="1" applyBorder="1" applyProtection="1">
      <protection hidden="1"/>
    </xf>
    <xf numFmtId="0" fontId="36" fillId="5" borderId="16" xfId="0" applyNumberFormat="1" applyFont="1" applyFill="1" applyBorder="1" applyProtection="1">
      <protection hidden="1"/>
    </xf>
    <xf numFmtId="2" fontId="36" fillId="5" borderId="0" xfId="0" applyNumberFormat="1" applyFont="1" applyFill="1" applyBorder="1" applyProtection="1"/>
    <xf numFmtId="0" fontId="36" fillId="7" borderId="17" xfId="0" applyFont="1" applyFill="1" applyBorder="1" applyAlignment="1" applyProtection="1">
      <alignment horizontal="right"/>
    </xf>
    <xf numFmtId="0" fontId="36" fillId="3" borderId="0" xfId="0" applyFont="1" applyFill="1" applyBorder="1" applyAlignment="1">
      <alignment horizontal="right"/>
    </xf>
    <xf numFmtId="11" fontId="36" fillId="3" borderId="0" xfId="0" applyNumberFormat="1" applyFont="1" applyFill="1" applyBorder="1"/>
    <xf numFmtId="0" fontId="36" fillId="4" borderId="0" xfId="0" applyFont="1" applyFill="1" applyBorder="1" applyAlignment="1">
      <alignment horizontal="right"/>
    </xf>
    <xf numFmtId="0" fontId="36" fillId="4" borderId="0" xfId="0" applyFont="1" applyFill="1" applyBorder="1"/>
    <xf numFmtId="0" fontId="36" fillId="4" borderId="13" xfId="0" applyFont="1" applyFill="1" applyBorder="1"/>
    <xf numFmtId="0" fontId="36" fillId="4" borderId="0" xfId="0" applyFont="1" applyFill="1"/>
    <xf numFmtId="0" fontId="19" fillId="0" borderId="0" xfId="0" applyFont="1" applyFill="1" applyProtection="1"/>
    <xf numFmtId="0" fontId="19" fillId="0" borderId="0" xfId="0" applyFont="1" applyFill="1"/>
    <xf numFmtId="0" fontId="19" fillId="0" borderId="13" xfId="0" applyFont="1" applyFill="1" applyBorder="1" applyProtection="1"/>
    <xf numFmtId="0" fontId="19" fillId="4" borderId="0" xfId="0" applyFont="1" applyFill="1" applyBorder="1"/>
    <xf numFmtId="0" fontId="19" fillId="4" borderId="16" xfId="0" applyFont="1" applyFill="1" applyBorder="1"/>
    <xf numFmtId="0" fontId="19" fillId="4" borderId="0" xfId="0" applyFont="1" applyFill="1"/>
    <xf numFmtId="0" fontId="19" fillId="4" borderId="15" xfId="0" applyFont="1" applyFill="1" applyBorder="1"/>
    <xf numFmtId="0" fontId="19" fillId="4" borderId="13" xfId="0" applyFont="1" applyFill="1" applyBorder="1"/>
    <xf numFmtId="0" fontId="36" fillId="5" borderId="0" xfId="0" applyNumberFormat="1" applyFont="1" applyFill="1" applyBorder="1" applyProtection="1"/>
    <xf numFmtId="0" fontId="19" fillId="0" borderId="0" xfId="0" applyFont="1" applyFill="1" applyBorder="1"/>
    <xf numFmtId="0" fontId="36" fillId="0" borderId="0" xfId="0" applyNumberFormat="1" applyFont="1" applyAlignment="1" applyProtection="1">
      <alignment horizontal="right"/>
    </xf>
    <xf numFmtId="0" fontId="36" fillId="0" borderId="16" xfId="0" applyNumberFormat="1" applyFont="1" applyBorder="1" applyAlignment="1" applyProtection="1">
      <alignment horizontal="right"/>
    </xf>
    <xf numFmtId="0" fontId="36" fillId="0" borderId="0" xfId="0" applyNumberFormat="1" applyFont="1" applyAlignment="1">
      <alignment horizontal="right"/>
    </xf>
    <xf numFmtId="0" fontId="36" fillId="0" borderId="17" xfId="0" applyNumberFormat="1" applyFont="1" applyBorder="1" applyAlignment="1" applyProtection="1">
      <alignment horizontal="right"/>
    </xf>
    <xf numFmtId="0" fontId="36" fillId="0" borderId="0" xfId="0" applyNumberFormat="1" applyFont="1" applyBorder="1" applyAlignment="1" applyProtection="1">
      <alignment horizontal="right"/>
    </xf>
    <xf numFmtId="0" fontId="36" fillId="0" borderId="0" xfId="0" applyNumberFormat="1" applyFont="1" applyFill="1" applyBorder="1" applyAlignment="1">
      <alignment horizontal="right"/>
    </xf>
    <xf numFmtId="0" fontId="36" fillId="0" borderId="0" xfId="0" applyNumberFormat="1" applyFont="1" applyFill="1" applyAlignment="1">
      <alignment horizontal="right"/>
    </xf>
    <xf numFmtId="0" fontId="36" fillId="0" borderId="13" xfId="0" applyNumberFormat="1" applyFont="1" applyFill="1" applyBorder="1" applyAlignment="1">
      <alignment horizontal="right"/>
    </xf>
    <xf numFmtId="0" fontId="34" fillId="0" borderId="0" xfId="0" applyNumberFormat="1" applyFont="1" applyAlignment="1" applyProtection="1">
      <alignment horizontal="right"/>
    </xf>
    <xf numFmtId="0" fontId="36" fillId="0" borderId="0" xfId="0" applyFont="1" applyFill="1" applyBorder="1" applyAlignment="1">
      <alignment horizontal="right"/>
    </xf>
    <xf numFmtId="0" fontId="4" fillId="0" borderId="0" xfId="5" applyFont="1" applyAlignment="1">
      <alignment horizontal="right"/>
    </xf>
    <xf numFmtId="0" fontId="24" fillId="0" borderId="0" xfId="5"/>
    <xf numFmtId="0" fontId="4" fillId="0" borderId="0" xfId="5" applyFont="1" applyAlignment="1"/>
    <xf numFmtId="0" fontId="4" fillId="0" borderId="0" xfId="5" applyNumberFormat="1" applyFont="1" applyAlignment="1">
      <alignment horizontal="right"/>
    </xf>
    <xf numFmtId="0" fontId="3" fillId="0" borderId="0" xfId="5" applyFont="1" applyAlignment="1">
      <alignment horizontal="right"/>
    </xf>
    <xf numFmtId="0" fontId="2" fillId="0" borderId="0" xfId="5" applyFont="1"/>
    <xf numFmtId="2" fontId="4" fillId="0" borderId="0" xfId="5" applyNumberFormat="1" applyFont="1" applyAlignment="1">
      <alignment horizontal="right"/>
    </xf>
    <xf numFmtId="9" fontId="4" fillId="0" borderId="0" xfId="5" applyNumberFormat="1" applyFont="1" applyAlignment="1">
      <alignment horizontal="right"/>
    </xf>
    <xf numFmtId="0" fontId="4" fillId="2" borderId="10" xfId="5" applyFont="1" applyFill="1" applyBorder="1" applyAlignment="1">
      <alignment horizontal="right"/>
    </xf>
    <xf numFmtId="0" fontId="4" fillId="2" borderId="8" xfId="5" applyFont="1" applyFill="1" applyBorder="1" applyAlignment="1">
      <alignment horizontal="right"/>
    </xf>
    <xf numFmtId="0" fontId="24" fillId="2" borderId="14" xfId="5" applyFill="1" applyBorder="1"/>
    <xf numFmtId="0" fontId="4" fillId="2" borderId="14" xfId="5" applyFont="1" applyFill="1" applyBorder="1" applyAlignment="1">
      <alignment horizontal="right"/>
    </xf>
    <xf numFmtId="0" fontId="24" fillId="2" borderId="8" xfId="5" applyFill="1" applyBorder="1"/>
    <xf numFmtId="0" fontId="4" fillId="2" borderId="14" xfId="5" applyFont="1" applyFill="1" applyBorder="1" applyAlignment="1">
      <alignment horizontal="left"/>
    </xf>
    <xf numFmtId="0" fontId="3" fillId="2" borderId="7" xfId="5" applyFont="1" applyFill="1" applyBorder="1" applyAlignment="1">
      <alignment horizontal="left"/>
    </xf>
    <xf numFmtId="0" fontId="4" fillId="2" borderId="6" xfId="5" applyFont="1" applyFill="1" applyBorder="1" applyAlignment="1">
      <alignment horizontal="right"/>
    </xf>
    <xf numFmtId="0" fontId="4" fillId="2" borderId="0" xfId="5" applyFont="1" applyFill="1" applyBorder="1" applyAlignment="1">
      <alignment horizontal="right"/>
    </xf>
    <xf numFmtId="0" fontId="24" fillId="2" borderId="13" xfId="5" applyFill="1" applyBorder="1"/>
    <xf numFmtId="0" fontId="24" fillId="2" borderId="0" xfId="5" applyFill="1" applyBorder="1"/>
    <xf numFmtId="0" fontId="4" fillId="2" borderId="0" xfId="5" applyFont="1" applyFill="1" applyBorder="1" applyAlignment="1">
      <alignment horizontal="left"/>
    </xf>
    <xf numFmtId="0" fontId="3" fillId="2" borderId="4" xfId="5" applyFont="1" applyFill="1" applyBorder="1" applyAlignment="1">
      <alignment horizontal="left"/>
    </xf>
    <xf numFmtId="0" fontId="4" fillId="2" borderId="3" xfId="5" applyFont="1" applyFill="1" applyBorder="1" applyAlignment="1">
      <alignment horizontal="right"/>
    </xf>
    <xf numFmtId="0" fontId="3" fillId="2" borderId="2" xfId="5" applyFont="1" applyFill="1" applyBorder="1" applyAlignment="1">
      <alignment horizontal="right"/>
    </xf>
    <xf numFmtId="0" fontId="24" fillId="2" borderId="12" xfId="5" applyFill="1" applyBorder="1"/>
    <xf numFmtId="0" fontId="24" fillId="2" borderId="2" xfId="5" applyFill="1" applyBorder="1"/>
    <xf numFmtId="0" fontId="39" fillId="2" borderId="2" xfId="5" applyFont="1" applyFill="1" applyBorder="1" applyAlignment="1">
      <alignment horizontal="left"/>
    </xf>
    <xf numFmtId="0" fontId="4" fillId="2" borderId="1" xfId="5" applyFont="1" applyFill="1" applyBorder="1" applyAlignment="1">
      <alignment horizontal="right"/>
    </xf>
    <xf numFmtId="0" fontId="4" fillId="2" borderId="8" xfId="5" applyFont="1" applyFill="1" applyBorder="1" applyAlignment="1">
      <alignment horizontal="left"/>
    </xf>
    <xf numFmtId="0" fontId="4" fillId="2" borderId="9" xfId="5" applyFont="1" applyFill="1" applyBorder="1" applyAlignment="1">
      <alignment horizontal="right"/>
    </xf>
    <xf numFmtId="0" fontId="3" fillId="2" borderId="8" xfId="5" applyFont="1" applyFill="1" applyBorder="1" applyAlignment="1">
      <alignment horizontal="right"/>
    </xf>
    <xf numFmtId="0" fontId="3" fillId="2" borderId="3" xfId="5" applyFont="1" applyFill="1" applyBorder="1" applyAlignment="1">
      <alignment horizontal="right"/>
    </xf>
    <xf numFmtId="0" fontId="3" fillId="2" borderId="2" xfId="5" applyFont="1" applyFill="1" applyBorder="1" applyAlignment="1">
      <alignment horizontal="left"/>
    </xf>
    <xf numFmtId="0" fontId="4" fillId="2" borderId="11" xfId="5" applyFont="1" applyFill="1" applyBorder="1" applyAlignment="1">
      <alignment horizontal="right"/>
    </xf>
    <xf numFmtId="0" fontId="4" fillId="0" borderId="0" xfId="5" applyFont="1" applyBorder="1" applyAlignment="1">
      <alignment horizontal="right"/>
    </xf>
    <xf numFmtId="0" fontId="4" fillId="2" borderId="5" xfId="5" applyFont="1" applyFill="1" applyBorder="1" applyAlignment="1">
      <alignment horizontal="right"/>
    </xf>
    <xf numFmtId="167" fontId="4" fillId="2" borderId="5" xfId="5" applyNumberFormat="1" applyFont="1" applyFill="1" applyBorder="1" applyAlignment="1">
      <alignment horizontal="right"/>
    </xf>
    <xf numFmtId="0" fontId="11" fillId="2" borderId="11" xfId="5" applyFont="1" applyFill="1" applyBorder="1" applyAlignment="1">
      <alignment horizontal="right"/>
    </xf>
    <xf numFmtId="0" fontId="3" fillId="2" borderId="1" xfId="5" applyFont="1" applyFill="1" applyBorder="1" applyAlignment="1">
      <alignment horizontal="right"/>
    </xf>
    <xf numFmtId="0" fontId="7" fillId="0" borderId="0" xfId="5" applyFont="1" applyAlignment="1">
      <alignment horizontal="left"/>
    </xf>
    <xf numFmtId="0" fontId="37" fillId="0" borderId="0" xfId="0" applyNumberFormat="1" applyFont="1" applyAlignment="1" applyProtection="1">
      <alignment horizontal="right"/>
    </xf>
    <xf numFmtId="0" fontId="37" fillId="0" borderId="16" xfId="0" applyNumberFormat="1" applyFont="1" applyBorder="1" applyAlignment="1" applyProtection="1">
      <alignment horizontal="right"/>
    </xf>
    <xf numFmtId="0" fontId="37" fillId="0" borderId="0" xfId="0" applyNumberFormat="1" applyFont="1" applyAlignment="1">
      <alignment horizontal="right"/>
    </xf>
    <xf numFmtId="0" fontId="37" fillId="0" borderId="17" xfId="0" applyNumberFormat="1" applyFont="1" applyBorder="1" applyAlignment="1" applyProtection="1">
      <alignment horizontal="right"/>
    </xf>
    <xf numFmtId="0" fontId="37" fillId="0" borderId="0" xfId="0" applyNumberFormat="1" applyFont="1" applyBorder="1" applyAlignment="1" applyProtection="1">
      <alignment horizontal="right"/>
    </xf>
    <xf numFmtId="0" fontId="37" fillId="0" borderId="0" xfId="0" applyNumberFormat="1" applyFont="1" applyFill="1" applyBorder="1" applyAlignment="1">
      <alignment horizontal="right"/>
    </xf>
    <xf numFmtId="0" fontId="37" fillId="0" borderId="0" xfId="0" applyNumberFormat="1" applyFont="1" applyFill="1" applyAlignment="1">
      <alignment horizontal="right"/>
    </xf>
    <xf numFmtId="0" fontId="37" fillId="0" borderId="13" xfId="0" applyNumberFormat="1" applyFont="1" applyFill="1" applyBorder="1" applyAlignment="1">
      <alignment horizontal="right"/>
    </xf>
    <xf numFmtId="0" fontId="38" fillId="0" borderId="0" xfId="0" applyNumberFormat="1" applyFont="1" applyAlignment="1" applyProtection="1">
      <alignment horizontal="right"/>
    </xf>
    <xf numFmtId="0" fontId="45" fillId="5" borderId="0" xfId="0" applyNumberFormat="1" applyFont="1" applyFill="1" applyBorder="1" applyProtection="1">
      <protection hidden="1"/>
    </xf>
    <xf numFmtId="0" fontId="45" fillId="5" borderId="16" xfId="0" applyNumberFormat="1" applyFont="1" applyFill="1" applyBorder="1" applyProtection="1">
      <protection hidden="1"/>
    </xf>
    <xf numFmtId="2" fontId="45" fillId="5" borderId="0" xfId="0" applyNumberFormat="1" applyFont="1" applyFill="1" applyBorder="1" applyProtection="1"/>
    <xf numFmtId="0" fontId="45" fillId="7" borderId="17" xfId="0" applyFont="1" applyFill="1" applyBorder="1" applyAlignment="1" applyProtection="1">
      <alignment horizontal="right"/>
    </xf>
    <xf numFmtId="0" fontId="45" fillId="3" borderId="0" xfId="0" applyFont="1" applyFill="1" applyBorder="1" applyAlignment="1">
      <alignment horizontal="right"/>
    </xf>
    <xf numFmtId="11" fontId="45" fillId="3" borderId="0" xfId="0" applyNumberFormat="1" applyFont="1" applyFill="1" applyBorder="1"/>
    <xf numFmtId="0" fontId="45" fillId="4" borderId="0" xfId="0" applyFont="1" applyFill="1" applyBorder="1" applyAlignment="1">
      <alignment horizontal="right"/>
    </xf>
    <xf numFmtId="0" fontId="45" fillId="4" borderId="0" xfId="0" applyFont="1" applyFill="1" applyBorder="1"/>
    <xf numFmtId="0" fontId="45" fillId="4" borderId="13" xfId="0" applyFont="1" applyFill="1" applyBorder="1"/>
    <xf numFmtId="0" fontId="46" fillId="0" borderId="0" xfId="0" applyFont="1" applyFill="1" applyBorder="1" applyAlignment="1" applyProtection="1">
      <alignment horizontal="right"/>
    </xf>
    <xf numFmtId="0" fontId="46" fillId="0" borderId="0" xfId="0" applyFont="1" applyFill="1" applyBorder="1" applyProtection="1"/>
    <xf numFmtId="0" fontId="46" fillId="0" borderId="0" xfId="0" applyFont="1" applyFill="1"/>
    <xf numFmtId="0" fontId="46" fillId="0" borderId="13" xfId="0" applyFont="1" applyFill="1" applyBorder="1" applyProtection="1"/>
    <xf numFmtId="0" fontId="46" fillId="4" borderId="0" xfId="0" applyFont="1" applyFill="1" applyBorder="1"/>
    <xf numFmtId="0" fontId="46" fillId="4" borderId="16" xfId="0" applyFont="1" applyFill="1" applyBorder="1"/>
    <xf numFmtId="0" fontId="46" fillId="4" borderId="15" xfId="0" applyFont="1" applyFill="1" applyBorder="1"/>
    <xf numFmtId="0" fontId="46" fillId="4" borderId="13" xfId="0" applyFont="1" applyFill="1" applyBorder="1"/>
    <xf numFmtId="0" fontId="46" fillId="0" borderId="0" xfId="0" applyFont="1" applyBorder="1" applyProtection="1"/>
    <xf numFmtId="0" fontId="45" fillId="4" borderId="0" xfId="0" applyFont="1" applyFill="1"/>
    <xf numFmtId="0" fontId="46" fillId="0" borderId="0" xfId="0" applyFont="1" applyFill="1" applyProtection="1"/>
    <xf numFmtId="0" fontId="46" fillId="4" borderId="0" xfId="0" applyFont="1" applyFill="1"/>
    <xf numFmtId="0" fontId="46" fillId="0" borderId="0" xfId="0" applyFont="1" applyProtection="1"/>
    <xf numFmtId="0" fontId="47" fillId="5" borderId="0" xfId="0" applyNumberFormat="1" applyFont="1" applyFill="1" applyBorder="1" applyProtection="1">
      <protection hidden="1"/>
    </xf>
    <xf numFmtId="0" fontId="47" fillId="5" borderId="16" xfId="0" applyNumberFormat="1" applyFont="1" applyFill="1" applyBorder="1" applyProtection="1">
      <protection hidden="1"/>
    </xf>
    <xf numFmtId="2" fontId="47" fillId="5" borderId="0" xfId="0" applyNumberFormat="1" applyFont="1" applyFill="1" applyBorder="1" applyProtection="1"/>
    <xf numFmtId="0" fontId="47" fillId="7" borderId="17" xfId="0" applyFont="1" applyFill="1" applyBorder="1" applyAlignment="1" applyProtection="1">
      <alignment horizontal="right"/>
    </xf>
    <xf numFmtId="0" fontId="47" fillId="3" borderId="0" xfId="0" applyFont="1" applyFill="1" applyBorder="1" applyAlignment="1">
      <alignment horizontal="right"/>
    </xf>
    <xf numFmtId="11" fontId="47" fillId="3" borderId="0" xfId="0" applyNumberFormat="1" applyFont="1" applyFill="1" applyBorder="1"/>
    <xf numFmtId="0" fontId="47" fillId="4" borderId="0" xfId="0" applyFont="1" applyFill="1" applyBorder="1" applyAlignment="1">
      <alignment horizontal="right"/>
    </xf>
    <xf numFmtId="0" fontId="47" fillId="4" borderId="0" xfId="0" applyFont="1" applyFill="1" applyBorder="1"/>
    <xf numFmtId="0" fontId="47" fillId="4" borderId="0" xfId="0" applyFont="1" applyFill="1"/>
    <xf numFmtId="0" fontId="47" fillId="4" borderId="13" xfId="0" applyFont="1" applyFill="1" applyBorder="1"/>
    <xf numFmtId="0" fontId="48" fillId="0" borderId="0" xfId="0" applyFont="1" applyFill="1" applyBorder="1" applyAlignment="1" applyProtection="1">
      <alignment horizontal="right"/>
    </xf>
    <xf numFmtId="0" fontId="48" fillId="0" borderId="0" xfId="0" applyFont="1" applyFill="1" applyProtection="1"/>
    <xf numFmtId="0" fontId="48" fillId="0" borderId="0" xfId="0" applyFont="1" applyFill="1"/>
    <xf numFmtId="0" fontId="48" fillId="0" borderId="0" xfId="0" applyFont="1" applyFill="1" applyBorder="1" applyProtection="1"/>
    <xf numFmtId="0" fontId="48" fillId="0" borderId="13" xfId="0" applyFont="1" applyFill="1" applyBorder="1" applyProtection="1"/>
    <xf numFmtId="0" fontId="48" fillId="4" borderId="0" xfId="0" applyFont="1" applyFill="1" applyBorder="1"/>
    <xf numFmtId="0" fontId="48" fillId="4" borderId="16" xfId="0" applyFont="1" applyFill="1" applyBorder="1"/>
    <xf numFmtId="0" fontId="48" fillId="4" borderId="0" xfId="0" applyFont="1" applyFill="1"/>
    <xf numFmtId="0" fontId="48" fillId="4" borderId="15" xfId="0" applyFont="1" applyFill="1" applyBorder="1"/>
    <xf numFmtId="0" fontId="48" fillId="4" borderId="13" xfId="0" applyFont="1" applyFill="1" applyBorder="1"/>
    <xf numFmtId="0" fontId="48" fillId="0" borderId="0" xfId="0" applyFont="1" applyProtection="1"/>
  </cellXfs>
  <cellStyles count="6">
    <cellStyle name="CSV" xfId="1"/>
    <cellStyle name="Normal" xfId="0" builtinId="0"/>
    <cellStyle name="Normal 2" xfId="5"/>
    <cellStyle name="Normal_ModelSheet" xfId="2"/>
    <cellStyle name="Normal_polimod" xfId="3"/>
    <cellStyle name="Normal_Sheet1_2" xfId="4"/>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sharedStrings" Target="sharedStrings.xml"/><Relationship Id="rId3" Type="http://schemas.openxmlformats.org/officeDocument/2006/relationships/worksheet" Target="worksheets/sheet1.xml"/><Relationship Id="rId21" Type="http://schemas.openxmlformats.org/officeDocument/2006/relationships/worksheet" Target="worksheets/sheet19.xml"/><Relationship Id="rId34" Type="http://schemas.openxmlformats.org/officeDocument/2006/relationships/worksheet" Target="worksheets/sheet32.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styles" Target="styles.xml"/><Relationship Id="rId2" Type="http://schemas.openxmlformats.org/officeDocument/2006/relationships/dialogsheet" Target="dialogsheets/sheet2.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worksheet" Target="worksheets/sheet27.xml"/><Relationship Id="rId41" Type="http://schemas.microsoft.com/office/2006/relationships/vbaProject" Target="vbaProject.bin"/><Relationship Id="rId1" Type="http://schemas.openxmlformats.org/officeDocument/2006/relationships/dialogsheet" Target="dialog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DMpred!$U$18</c:f>
              <c:strCache>
                <c:ptCount val="1"/>
                <c:pt idx="0">
                  <c:v>y1</c:v>
                </c:pt>
              </c:strCache>
            </c:strRef>
          </c:tx>
          <c:spPr>
            <a:ln w="12700">
              <a:solidFill>
                <a:srgbClr val="000000"/>
              </a:solidFill>
              <a:prstDash val="solid"/>
            </a:ln>
          </c:spPr>
          <c:marker>
            <c:symbol val="none"/>
          </c:marker>
          <c:xVal>
            <c:numRef>
              <c:f>DMpred!$V$17:$AP$17</c:f>
              <c:numCache>
                <c:formatCode>General</c:formatCode>
                <c:ptCount val="21"/>
                <c:pt idx="0">
                  <c:v>0</c:v>
                </c:pt>
                <c:pt idx="1">
                  <c:v>4.75</c:v>
                </c:pt>
                <c:pt idx="2">
                  <c:v>9.5</c:v>
                </c:pt>
                <c:pt idx="3">
                  <c:v>14.25</c:v>
                </c:pt>
                <c:pt idx="4">
                  <c:v>19</c:v>
                </c:pt>
                <c:pt idx="5">
                  <c:v>23.75</c:v>
                </c:pt>
                <c:pt idx="6">
                  <c:v>28.5</c:v>
                </c:pt>
                <c:pt idx="7">
                  <c:v>33.25</c:v>
                </c:pt>
                <c:pt idx="8">
                  <c:v>38</c:v>
                </c:pt>
                <c:pt idx="9">
                  <c:v>42.75</c:v>
                </c:pt>
                <c:pt idx="10">
                  <c:v>47.5</c:v>
                </c:pt>
                <c:pt idx="11">
                  <c:v>52.25</c:v>
                </c:pt>
                <c:pt idx="12">
                  <c:v>57</c:v>
                </c:pt>
                <c:pt idx="13">
                  <c:v>61.75</c:v>
                </c:pt>
                <c:pt idx="14">
                  <c:v>66.5</c:v>
                </c:pt>
                <c:pt idx="15">
                  <c:v>71.25</c:v>
                </c:pt>
                <c:pt idx="16">
                  <c:v>76</c:v>
                </c:pt>
                <c:pt idx="17">
                  <c:v>80.75</c:v>
                </c:pt>
                <c:pt idx="18">
                  <c:v>85.5</c:v>
                </c:pt>
                <c:pt idx="19">
                  <c:v>90.25</c:v>
                </c:pt>
                <c:pt idx="20">
                  <c:v>95</c:v>
                </c:pt>
              </c:numCache>
            </c:numRef>
          </c:xVal>
          <c:yVal>
            <c:numRef>
              <c:f>DMpred!$V$18:$AP$18</c:f>
              <c:numCache>
                <c:formatCode>General</c:formatCode>
                <c:ptCount val="21"/>
                <c:pt idx="0">
                  <c:v>3</c:v>
                </c:pt>
                <c:pt idx="1">
                  <c:v>3.1773937694644507</c:v>
                </c:pt>
                <c:pt idx="2">
                  <c:v>3.8841643424295</c:v>
                </c:pt>
                <c:pt idx="3">
                  <c:v>4.9175988523211203</c:v>
                </c:pt>
                <c:pt idx="4">
                  <c:v>5.9981037363272538</c:v>
                </c:pt>
                <c:pt idx="5">
                  <c:v>7.0697346748140806</c:v>
                </c:pt>
                <c:pt idx="6">
                  <c:v>8.0113003652006256</c:v>
                </c:pt>
                <c:pt idx="7">
                  <c:v>8.4485498979544591</c:v>
                </c:pt>
                <c:pt idx="8">
                  <c:v>8.5152530378932081</c:v>
                </c:pt>
                <c:pt idx="9">
                  <c:v>8.5212037815034627</c:v>
                </c:pt>
                <c:pt idx="10">
                  <c:v>8.5216952210764934</c:v>
                </c:pt>
                <c:pt idx="11">
                  <c:v>8.5217355308562972</c:v>
                </c:pt>
                <c:pt idx="12">
                  <c:v>8.5217388353629833</c:v>
                </c:pt>
                <c:pt idx="13">
                  <c:v>8.5217391062466525</c:v>
                </c:pt>
                <c:pt idx="14">
                  <c:v>8.5217391284519906</c:v>
                </c:pt>
                <c:pt idx="15">
                  <c:v>8.5217391302722429</c:v>
                </c:pt>
                <c:pt idx="16">
                  <c:v>8.5217391304214551</c:v>
                </c:pt>
                <c:pt idx="17">
                  <c:v>8.5217391304336871</c:v>
                </c:pt>
                <c:pt idx="18">
                  <c:v>8.5217391304346908</c:v>
                </c:pt>
                <c:pt idx="19">
                  <c:v>8.5217391304347725</c:v>
                </c:pt>
                <c:pt idx="20">
                  <c:v>8.5217391304347796</c:v>
                </c:pt>
              </c:numCache>
            </c:numRef>
          </c:yVal>
          <c:smooth val="0"/>
        </c:ser>
        <c:ser>
          <c:idx val="1"/>
          <c:order val="1"/>
          <c:tx>
            <c:strRef>
              <c:f>DMpred!$U$19</c:f>
              <c:strCache>
                <c:ptCount val="1"/>
                <c:pt idx="0">
                  <c:v>y2</c:v>
                </c:pt>
              </c:strCache>
            </c:strRef>
          </c:tx>
          <c:spPr>
            <a:ln w="12700">
              <a:solidFill>
                <a:srgbClr val="0000FF"/>
              </a:solidFill>
              <a:prstDash val="solid"/>
            </a:ln>
          </c:spPr>
          <c:marker>
            <c:symbol val="none"/>
          </c:marker>
          <c:xVal>
            <c:numRef>
              <c:f>DMpred!$V$17:$AP$17</c:f>
              <c:numCache>
                <c:formatCode>General</c:formatCode>
                <c:ptCount val="21"/>
                <c:pt idx="0">
                  <c:v>0</c:v>
                </c:pt>
                <c:pt idx="1">
                  <c:v>4.75</c:v>
                </c:pt>
                <c:pt idx="2">
                  <c:v>9.5</c:v>
                </c:pt>
                <c:pt idx="3">
                  <c:v>14.25</c:v>
                </c:pt>
                <c:pt idx="4">
                  <c:v>19</c:v>
                </c:pt>
                <c:pt idx="5">
                  <c:v>23.75</c:v>
                </c:pt>
                <c:pt idx="6">
                  <c:v>28.5</c:v>
                </c:pt>
                <c:pt idx="7">
                  <c:v>33.25</c:v>
                </c:pt>
                <c:pt idx="8">
                  <c:v>38</c:v>
                </c:pt>
                <c:pt idx="9">
                  <c:v>42.75</c:v>
                </c:pt>
                <c:pt idx="10">
                  <c:v>47.5</c:v>
                </c:pt>
                <c:pt idx="11">
                  <c:v>52.25</c:v>
                </c:pt>
                <c:pt idx="12">
                  <c:v>57</c:v>
                </c:pt>
                <c:pt idx="13">
                  <c:v>61.75</c:v>
                </c:pt>
                <c:pt idx="14">
                  <c:v>66.5</c:v>
                </c:pt>
                <c:pt idx="15">
                  <c:v>71.25</c:v>
                </c:pt>
                <c:pt idx="16">
                  <c:v>76</c:v>
                </c:pt>
                <c:pt idx="17">
                  <c:v>80.75</c:v>
                </c:pt>
                <c:pt idx="18">
                  <c:v>85.5</c:v>
                </c:pt>
                <c:pt idx="19">
                  <c:v>90.25</c:v>
                </c:pt>
                <c:pt idx="20">
                  <c:v>95</c:v>
                </c:pt>
              </c:numCache>
            </c:numRef>
          </c:xVal>
          <c:yVal>
            <c:numRef>
              <c:f>DMpred!$V$19:$AP$19</c:f>
              <c:numCache>
                <c:formatCode>General</c:formatCode>
                <c:ptCount val="21"/>
                <c:pt idx="0">
                  <c:v>3</c:v>
                </c:pt>
                <c:pt idx="1">
                  <c:v>3.1773937694644507</c:v>
                </c:pt>
                <c:pt idx="2">
                  <c:v>3.8841643424295</c:v>
                </c:pt>
                <c:pt idx="3">
                  <c:v>4.9175988523211203</c:v>
                </c:pt>
                <c:pt idx="4">
                  <c:v>5.9981037363272538</c:v>
                </c:pt>
                <c:pt idx="5">
                  <c:v>7.0697346748140806</c:v>
                </c:pt>
                <c:pt idx="6">
                  <c:v>8.0113003652006256</c:v>
                </c:pt>
                <c:pt idx="7">
                  <c:v>8.4485498979544591</c:v>
                </c:pt>
                <c:pt idx="8">
                  <c:v>8.5152530378932081</c:v>
                </c:pt>
                <c:pt idx="9">
                  <c:v>8.5212037815034627</c:v>
                </c:pt>
                <c:pt idx="10">
                  <c:v>8.5216952210764934</c:v>
                </c:pt>
                <c:pt idx="11">
                  <c:v>8.5217355308562972</c:v>
                </c:pt>
                <c:pt idx="12">
                  <c:v>8.5217388353629833</c:v>
                </c:pt>
                <c:pt idx="13">
                  <c:v>8.5217391062466525</c:v>
                </c:pt>
                <c:pt idx="14">
                  <c:v>8.5217391284519906</c:v>
                </c:pt>
                <c:pt idx="15">
                  <c:v>8.5217391302722429</c:v>
                </c:pt>
                <c:pt idx="16">
                  <c:v>8.5217391304214551</c:v>
                </c:pt>
                <c:pt idx="17">
                  <c:v>8.5217391304336871</c:v>
                </c:pt>
                <c:pt idx="18">
                  <c:v>8.5217391304346908</c:v>
                </c:pt>
                <c:pt idx="19">
                  <c:v>8.5217391304347725</c:v>
                </c:pt>
                <c:pt idx="20">
                  <c:v>8.5217391304347796</c:v>
                </c:pt>
              </c:numCache>
            </c:numRef>
          </c:yVal>
          <c:smooth val="0"/>
        </c:ser>
        <c:ser>
          <c:idx val="2"/>
          <c:order val="2"/>
          <c:tx>
            <c:strRef>
              <c:f>DMpred!$U$20</c:f>
              <c:strCache>
                <c:ptCount val="1"/>
                <c:pt idx="0">
                  <c:v>y3</c:v>
                </c:pt>
              </c:strCache>
            </c:strRef>
          </c:tx>
          <c:spPr>
            <a:ln w="12700">
              <a:solidFill>
                <a:srgbClr val="FF00FF"/>
              </a:solidFill>
              <a:prstDash val="solid"/>
            </a:ln>
          </c:spPr>
          <c:marker>
            <c:symbol val="none"/>
          </c:marker>
          <c:xVal>
            <c:numRef>
              <c:f>DMpred!$V$17:$AP$17</c:f>
              <c:numCache>
                <c:formatCode>General</c:formatCode>
                <c:ptCount val="21"/>
                <c:pt idx="0">
                  <c:v>0</c:v>
                </c:pt>
                <c:pt idx="1">
                  <c:v>4.75</c:v>
                </c:pt>
                <c:pt idx="2">
                  <c:v>9.5</c:v>
                </c:pt>
                <c:pt idx="3">
                  <c:v>14.25</c:v>
                </c:pt>
                <c:pt idx="4">
                  <c:v>19</c:v>
                </c:pt>
                <c:pt idx="5">
                  <c:v>23.75</c:v>
                </c:pt>
                <c:pt idx="6">
                  <c:v>28.5</c:v>
                </c:pt>
                <c:pt idx="7">
                  <c:v>33.25</c:v>
                </c:pt>
                <c:pt idx="8">
                  <c:v>38</c:v>
                </c:pt>
                <c:pt idx="9">
                  <c:v>42.75</c:v>
                </c:pt>
                <c:pt idx="10">
                  <c:v>47.5</c:v>
                </c:pt>
                <c:pt idx="11">
                  <c:v>52.25</c:v>
                </c:pt>
                <c:pt idx="12">
                  <c:v>57</c:v>
                </c:pt>
                <c:pt idx="13">
                  <c:v>61.75</c:v>
                </c:pt>
                <c:pt idx="14">
                  <c:v>66.5</c:v>
                </c:pt>
                <c:pt idx="15">
                  <c:v>71.25</c:v>
                </c:pt>
                <c:pt idx="16">
                  <c:v>76</c:v>
                </c:pt>
                <c:pt idx="17">
                  <c:v>80.75</c:v>
                </c:pt>
                <c:pt idx="18">
                  <c:v>85.5</c:v>
                </c:pt>
                <c:pt idx="19">
                  <c:v>90.25</c:v>
                </c:pt>
                <c:pt idx="20">
                  <c:v>95</c:v>
                </c:pt>
              </c:numCache>
            </c:numRef>
          </c:xVal>
          <c:yVal>
            <c:numRef>
              <c:f>DMpred!$V$20:$AP$20</c:f>
              <c:numCache>
                <c:formatCode>General</c:formatCode>
                <c:ptCount val="21"/>
                <c:pt idx="0">
                  <c:v>3</c:v>
                </c:pt>
                <c:pt idx="1">
                  <c:v>3.0086403501041188</c:v>
                </c:pt>
                <c:pt idx="2">
                  <c:v>3.0208383840810784</c:v>
                </c:pt>
                <c:pt idx="3">
                  <c:v>3.0378927194713645</c:v>
                </c:pt>
                <c:pt idx="4">
                  <c:v>3.0614269507346652</c:v>
                </c:pt>
                <c:pt idx="5">
                  <c:v>3.0933504996932131</c:v>
                </c:pt>
                <c:pt idx="6">
                  <c:v>3.1357219928379676</c:v>
                </c:pt>
                <c:pt idx="7">
                  <c:v>3.1904954544080697</c:v>
                </c:pt>
                <c:pt idx="8">
                  <c:v>3.2591802514992851</c:v>
                </c:pt>
                <c:pt idx="9">
                  <c:v>3.3425141580587177</c:v>
                </c:pt>
                <c:pt idx="10">
                  <c:v>3.440283586340783</c:v>
                </c:pt>
                <c:pt idx="11">
                  <c:v>3.5513769322668276</c:v>
                </c:pt>
                <c:pt idx="12">
                  <c:v>3.6740447145391588</c:v>
                </c:pt>
                <c:pt idx="13">
                  <c:v>3.806248276468537</c:v>
                </c:pt>
                <c:pt idx="14">
                  <c:v>3.945970071267114</c:v>
                </c:pt>
                <c:pt idx="15">
                  <c:v>4.0914158584275837</c:v>
                </c:pt>
                <c:pt idx="16">
                  <c:v>4.2411041559520761</c:v>
                </c:pt>
                <c:pt idx="17">
                  <c:v>4.393874159832122</c:v>
                </c:pt>
                <c:pt idx="18">
                  <c:v>4.5488492716418225</c:v>
                </c:pt>
                <c:pt idx="19">
                  <c:v>4.7053842275802236</c:v>
                </c:pt>
                <c:pt idx="20">
                  <c:v>4.8630120486685335</c:v>
                </c:pt>
              </c:numCache>
            </c:numRef>
          </c:yVal>
          <c:smooth val="0"/>
        </c:ser>
        <c:ser>
          <c:idx val="3"/>
          <c:order val="3"/>
          <c:tx>
            <c:strRef>
              <c:f>DMpred!$U$21</c:f>
              <c:strCache>
                <c:ptCount val="1"/>
                <c:pt idx="0">
                  <c:v>y4</c:v>
                </c:pt>
              </c:strCache>
            </c:strRef>
          </c:tx>
          <c:spPr>
            <a:ln w="12700">
              <a:solidFill>
                <a:srgbClr val="FF0000"/>
              </a:solidFill>
              <a:prstDash val="solid"/>
            </a:ln>
          </c:spPr>
          <c:marker>
            <c:symbol val="none"/>
          </c:marker>
          <c:xVal>
            <c:numRef>
              <c:f>DMpred!$V$17:$AP$17</c:f>
              <c:numCache>
                <c:formatCode>General</c:formatCode>
                <c:ptCount val="21"/>
                <c:pt idx="0">
                  <c:v>0</c:v>
                </c:pt>
                <c:pt idx="1">
                  <c:v>4.75</c:v>
                </c:pt>
                <c:pt idx="2">
                  <c:v>9.5</c:v>
                </c:pt>
                <c:pt idx="3">
                  <c:v>14.25</c:v>
                </c:pt>
                <c:pt idx="4">
                  <c:v>19</c:v>
                </c:pt>
                <c:pt idx="5">
                  <c:v>23.75</c:v>
                </c:pt>
                <c:pt idx="6">
                  <c:v>28.5</c:v>
                </c:pt>
                <c:pt idx="7">
                  <c:v>33.25</c:v>
                </c:pt>
                <c:pt idx="8">
                  <c:v>38</c:v>
                </c:pt>
                <c:pt idx="9">
                  <c:v>42.75</c:v>
                </c:pt>
                <c:pt idx="10">
                  <c:v>47.5</c:v>
                </c:pt>
                <c:pt idx="11">
                  <c:v>52.25</c:v>
                </c:pt>
                <c:pt idx="12">
                  <c:v>57</c:v>
                </c:pt>
                <c:pt idx="13">
                  <c:v>61.75</c:v>
                </c:pt>
                <c:pt idx="14">
                  <c:v>66.5</c:v>
                </c:pt>
                <c:pt idx="15">
                  <c:v>71.25</c:v>
                </c:pt>
                <c:pt idx="16">
                  <c:v>76</c:v>
                </c:pt>
                <c:pt idx="17">
                  <c:v>80.75</c:v>
                </c:pt>
                <c:pt idx="18">
                  <c:v>85.5</c:v>
                </c:pt>
                <c:pt idx="19">
                  <c:v>90.25</c:v>
                </c:pt>
                <c:pt idx="20">
                  <c:v>95</c:v>
                </c:pt>
              </c:numCache>
            </c:numRef>
          </c:xVal>
          <c:yVal>
            <c:numRef>
              <c:f>DMpred!$V$21:$AP$21</c:f>
              <c:numCache>
                <c:formatCode>General</c:formatCode>
                <c:ptCount val="21"/>
                <c:pt idx="0">
                  <c:v>3</c:v>
                </c:pt>
                <c:pt idx="1">
                  <c:v>3.4294208147563277</c:v>
                </c:pt>
                <c:pt idx="2">
                  <c:v>4.8300050082880119</c:v>
                </c:pt>
                <c:pt idx="3">
                  <c:v>6.4058537735982872</c:v>
                </c:pt>
                <c:pt idx="4">
                  <c:v>7.8812883784470547</c:v>
                </c:pt>
                <c:pt idx="5">
                  <c:v>8.4852718647591434</c:v>
                </c:pt>
                <c:pt idx="6">
                  <c:v>8.5207513590499993</c:v>
                </c:pt>
                <c:pt idx="7">
                  <c:v>8.5217134250878903</c:v>
                </c:pt>
                <c:pt idx="8">
                  <c:v>8.5217384622110615</c:v>
                </c:pt>
                <c:pt idx="9">
                  <c:v>8.5217391130644486</c:v>
                </c:pt>
                <c:pt idx="10">
                  <c:v>8.5217391299832421</c:v>
                </c:pt>
                <c:pt idx="11">
                  <c:v>8.5217391304230414</c:v>
                </c:pt>
                <c:pt idx="12">
                  <c:v>8.5217391304344741</c:v>
                </c:pt>
                <c:pt idx="13">
                  <c:v>8.5217391304347725</c:v>
                </c:pt>
                <c:pt idx="14">
                  <c:v>8.5217391304347796</c:v>
                </c:pt>
                <c:pt idx="15">
                  <c:v>8.5217391304347796</c:v>
                </c:pt>
                <c:pt idx="16">
                  <c:v>8.5217391304347796</c:v>
                </c:pt>
                <c:pt idx="17">
                  <c:v>8.5217391304347796</c:v>
                </c:pt>
                <c:pt idx="18">
                  <c:v>8.5217391304347796</c:v>
                </c:pt>
                <c:pt idx="19">
                  <c:v>8.5217391304347796</c:v>
                </c:pt>
                <c:pt idx="20">
                  <c:v>8.5217391304347796</c:v>
                </c:pt>
              </c:numCache>
            </c:numRef>
          </c:yVal>
          <c:smooth val="0"/>
        </c:ser>
        <c:dLbls>
          <c:showLegendKey val="0"/>
          <c:showVal val="0"/>
          <c:showCatName val="0"/>
          <c:showSerName val="0"/>
          <c:showPercent val="0"/>
          <c:showBubbleSize val="0"/>
        </c:dLbls>
        <c:axId val="185821240"/>
        <c:axId val="165075064"/>
      </c:scatterChart>
      <c:valAx>
        <c:axId val="185821240"/>
        <c:scaling>
          <c:orientation val="minMax"/>
        </c:scaling>
        <c:delete val="0"/>
        <c:axPos val="b"/>
        <c:majorGridlines>
          <c:spPr>
            <a:ln w="3175">
              <a:solidFill>
                <a:srgbClr val="000000"/>
              </a:solidFill>
              <a:prstDash val="lgDash"/>
            </a:ln>
          </c:spPr>
        </c:majorGridlines>
        <c:title>
          <c:tx>
            <c:rich>
              <a:bodyPr/>
              <a:lstStyle/>
              <a:p>
                <a:pPr>
                  <a:defRPr sz="800" b="1" i="0" u="none" strike="noStrike" baseline="0">
                    <a:solidFill>
                      <a:srgbClr val="000000"/>
                    </a:solidFill>
                    <a:latin typeface="Arial"/>
                    <a:ea typeface="Arial"/>
                    <a:cs typeface="Arial"/>
                  </a:defRPr>
                </a:pPr>
                <a:r>
                  <a:rPr lang="en-GB"/>
                  <a:t>time (h)</a:t>
                </a:r>
              </a:p>
            </c:rich>
          </c:tx>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5075064"/>
        <c:crosses val="autoZero"/>
        <c:crossBetween val="midCat"/>
      </c:valAx>
      <c:valAx>
        <c:axId val="165075064"/>
        <c:scaling>
          <c:orientation val="minMax"/>
          <c:max val="10"/>
          <c:min val="0"/>
        </c:scaling>
        <c:delete val="0"/>
        <c:axPos val="l"/>
        <c:majorGridlines>
          <c:spPr>
            <a:ln w="3175">
              <a:solidFill>
                <a:srgbClr val="000000"/>
              </a:solidFill>
              <a:prstDash val="lgDash"/>
            </a:ln>
          </c:spPr>
        </c:majorGridlines>
        <c:title>
          <c:tx>
            <c:rich>
              <a:bodyPr/>
              <a:lstStyle/>
              <a:p>
                <a:pPr>
                  <a:defRPr sz="800" b="1" i="0" u="none" strike="noStrike" baseline="0">
                    <a:solidFill>
                      <a:srgbClr val="000000"/>
                    </a:solidFill>
                    <a:latin typeface="Arial"/>
                    <a:ea typeface="Arial"/>
                    <a:cs typeface="Arial"/>
                  </a:defRPr>
                </a:pPr>
                <a:r>
                  <a:rPr lang="en-GB"/>
                  <a:t>conc. (log10 cfu/ml)</a:t>
                </a:r>
              </a:p>
            </c:rich>
          </c:tx>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5821240"/>
        <c:crosses val="autoZero"/>
        <c:crossBetween val="midCat"/>
        <c:majorUnit val="2"/>
      </c:valAx>
      <c:spPr>
        <a:noFill/>
        <a:ln w="25400">
          <a:noFill/>
        </a:ln>
      </c:spPr>
    </c:plotArea>
    <c:legend>
      <c:legendPos val="r"/>
      <c:layout/>
      <c:overlay val="0"/>
    </c:legend>
    <c:plotVisOnly val="1"/>
    <c:dispBlanksAs val="gap"/>
    <c:showDLblsOverMax val="0"/>
  </c:chart>
  <c:spPr>
    <a:solidFill>
      <a:srgbClr val="E3E3E3"/>
    </a:solidFill>
    <a:ln w="12700">
      <a:solidFill>
        <a:schemeClr val="tx1"/>
      </a:solidFill>
      <a:prstDash val="solid"/>
    </a:ln>
  </c:spPr>
  <c:txPr>
    <a:bodyPr/>
    <a:lstStyle/>
    <a:p>
      <a:pPr>
        <a:defRPr sz="1000" b="0" i="0" u="none" strike="noStrike" baseline="0">
          <a:solidFill>
            <a:srgbClr val="000000"/>
          </a:solidFill>
          <a:latin typeface="Helv"/>
          <a:ea typeface="Helv"/>
          <a:cs typeface="Helv"/>
        </a:defRPr>
      </a:pPr>
      <a:endParaRPr lang="en-US"/>
    </a:p>
  </c:txPr>
  <c:printSettings>
    <c:headerFooter alignWithMargins="0">
      <c:oddHeader>&amp;A</c:oddHeader>
      <c:oddFooter>Page &amp;P</c:oddFooter>
    </c:headerFooter>
    <c:pageMargins b="1" l="0.75000000000000122" r="0.75000000000000122" t="1" header="0.5" footer="0.5"/>
    <c:pageSetup paperSize="9" orientation="landscape" horizontalDpi="-4"/>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16" fmlaLink="$F$11" inc="5" max="1000" page="10" val="95"/>
</file>

<file path=xl/ctrlProps/ctrlProp3.xml><?xml version="1.0" encoding="utf-8"?>
<formControlPr xmlns="http://schemas.microsoft.com/office/spreadsheetml/2009/9/main" objectType="Spin" dx="16" fmlaLink="$V$10" max="20" page="10" val="3"/>
</file>

<file path=xl/ctrlProps/ctrlProp4.xml><?xml version="1.0" encoding="utf-8"?>
<formControlPr xmlns="http://schemas.microsoft.com/office/spreadsheetml/2009/9/main" objectType="Spin" dx="16" fmlaLink="$V$6" max="100" page="10" val="25"/>
</file>

<file path=xl/ctrlProps/ctrlProp5.xml><?xml version="1.0" encoding="utf-8"?>
<formControlPr xmlns="http://schemas.microsoft.com/office/spreadsheetml/2009/9/main" objectType="Spin" dx="16" fmlaLink="$V$3" max="100" page="10" val="2"/>
</file>

<file path=xl/ctrlProps/ctrlProp6.xml><?xml version="1.0" encoding="utf-8"?>
<formControlPr xmlns="http://schemas.microsoft.com/office/spreadsheetml/2009/9/main" objectType="Spin" dx="16" fmlaLink="$A$14" max="6" page="10" val="3"/>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ialog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dialog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GridLines="0" showRowColHeaders="0" showZeros="0" showOutlineSymbols="0" workbookViewId="0"/>
  </sheetViews>
  <sheetFormatPr defaultColWidth="0.875" defaultRowHeight="5.25" customHeight="1"/>
  <sheetProtection sheet="1"/>
  <printOptions gridLinesSet="0"/>
  <pageMargins left="0.75" right="0.75" top="1" bottom="1" header="0.5" footer="0.5"/>
  <pageSetup paperSize="9" orientation="portrait" r:id="rId1"/>
  <headerFooter alignWithMargins="0">
    <oddHeader>&amp;A</oddHeader>
    <oddFooter>Page &amp;P</oddFooter>
  </headerFooter>
  <legacyDrawing r:id="rId2"/>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GridLines="0" showRowColHeaders="0" showZeros="0" showOutlineSymbols="0" workbookViewId="0"/>
  </sheetViews>
  <sheetFormatPr defaultColWidth="0.875" defaultRowHeight="5.25" customHeight="1"/>
  <sheetProtection sheet="1"/>
  <printOptions gridLinesSet="0"/>
  <pageMargins left="0.75" right="0.75" top="1" bottom="1" header="0.5" footer="0.5"/>
  <headerFooter alignWithMargins="0">
    <oddHeader>&amp;A</oddHeader>
    <oddFooter>Page &amp;P</oddFooter>
  </headerFooter>
  <legacyDrawing r:id="rId1"/>
</dialog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485774</xdr:colOff>
      <xdr:row>0</xdr:row>
      <xdr:rowOff>0</xdr:rowOff>
    </xdr:from>
    <xdr:to>
      <xdr:col>13</xdr:col>
      <xdr:colOff>247649</xdr:colOff>
      <xdr:row>13</xdr:row>
      <xdr:rowOff>38100</xdr:rowOff>
    </xdr:to>
    <xdr:graphicFrame macro="">
      <xdr:nvGraphicFramePr>
        <xdr:cNvPr id="3077" name="ChartWindo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514350</xdr:colOff>
          <xdr:row>5</xdr:row>
          <xdr:rowOff>114300</xdr:rowOff>
        </xdr:from>
        <xdr:to>
          <xdr:col>6</xdr:col>
          <xdr:colOff>0</xdr:colOff>
          <xdr:row>9</xdr:row>
          <xdr:rowOff>19050</xdr:rowOff>
        </xdr:to>
        <xdr:sp macro="" textlink="">
          <xdr:nvSpPr>
            <xdr:cNvPr id="3101" name="Button 29" hidden="1">
              <a:extLst>
                <a:ext uri="{63B3BB69-23CF-44E3-9099-C40C66FF867C}">
                  <a14:compatExt spid="_x0000_s3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GB" sz="1000" b="1" i="0" u="none" strike="noStrike" baseline="0">
                  <a:solidFill>
                    <a:srgbClr val="000000"/>
                  </a:solidFill>
                  <a:latin typeface="Trajan Pro"/>
                </a:rPr>
                <a:t>Update the plot-region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9</xdr:row>
          <xdr:rowOff>57150</xdr:rowOff>
        </xdr:from>
        <xdr:to>
          <xdr:col>6</xdr:col>
          <xdr:colOff>0</xdr:colOff>
          <xdr:row>11</xdr:row>
          <xdr:rowOff>57150</xdr:rowOff>
        </xdr:to>
        <xdr:sp macro="" textlink="">
          <xdr:nvSpPr>
            <xdr:cNvPr id="3107" name="Spinner 35" hidden="1">
              <a:extLst>
                <a:ext uri="{63B3BB69-23CF-44E3-9099-C40C66FF867C}">
                  <a14:compatExt spid="_x0000_s310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8</xdr:row>
          <xdr:rowOff>95250</xdr:rowOff>
        </xdr:from>
        <xdr:to>
          <xdr:col>22</xdr:col>
          <xdr:colOff>171450</xdr:colOff>
          <xdr:row>10</xdr:row>
          <xdr:rowOff>38100</xdr:rowOff>
        </xdr:to>
        <xdr:sp macro="" textlink="">
          <xdr:nvSpPr>
            <xdr:cNvPr id="3152" name="Spinner 80" hidden="1">
              <a:extLst>
                <a:ext uri="{63B3BB69-23CF-44E3-9099-C40C66FF867C}">
                  <a14:compatExt spid="_x0000_s315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xdr:row>
          <xdr:rowOff>104775</xdr:rowOff>
        </xdr:from>
        <xdr:to>
          <xdr:col>22</xdr:col>
          <xdr:colOff>171450</xdr:colOff>
          <xdr:row>6</xdr:row>
          <xdr:rowOff>57150</xdr:rowOff>
        </xdr:to>
        <xdr:sp macro="" textlink="">
          <xdr:nvSpPr>
            <xdr:cNvPr id="3153" name="Spinner 81" hidden="1">
              <a:extLst>
                <a:ext uri="{63B3BB69-23CF-44E3-9099-C40C66FF867C}">
                  <a14:compatExt spid="_x0000_s315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1</xdr:row>
          <xdr:rowOff>85725</xdr:rowOff>
        </xdr:from>
        <xdr:to>
          <xdr:col>22</xdr:col>
          <xdr:colOff>161925</xdr:colOff>
          <xdr:row>3</xdr:row>
          <xdr:rowOff>28575</xdr:rowOff>
        </xdr:to>
        <xdr:sp macro="" textlink="">
          <xdr:nvSpPr>
            <xdr:cNvPr id="3154" name="Spinner 82" hidden="1">
              <a:extLst>
                <a:ext uri="{63B3BB69-23CF-44E3-9099-C40C66FF867C}">
                  <a14:compatExt spid="_x0000_s315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438150</xdr:colOff>
          <xdr:row>12</xdr:row>
          <xdr:rowOff>57150</xdr:rowOff>
        </xdr:from>
        <xdr:to>
          <xdr:col>1</xdr:col>
          <xdr:colOff>38100</xdr:colOff>
          <xdr:row>14</xdr:row>
          <xdr:rowOff>57150</xdr:rowOff>
        </xdr:to>
        <xdr:sp macro="" textlink="">
          <xdr:nvSpPr>
            <xdr:cNvPr id="3158" name="Spinner 86" hidden="1">
              <a:extLst>
                <a:ext uri="{63B3BB69-23CF-44E3-9099-C40C66FF867C}">
                  <a14:compatExt spid="_x0000_s315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22</xdr:row>
          <xdr:rowOff>152400</xdr:rowOff>
        </xdr:from>
        <xdr:to>
          <xdr:col>1</xdr:col>
          <xdr:colOff>495300</xdr:colOff>
          <xdr:row>25</xdr:row>
          <xdr:rowOff>28575</xdr:rowOff>
        </xdr:to>
        <xdr:sp macro="" textlink="">
          <xdr:nvSpPr>
            <xdr:cNvPr id="3186" name="Button 114" hidden="1">
              <a:extLst>
                <a:ext uri="{63B3BB69-23CF-44E3-9099-C40C66FF867C}">
                  <a14:compatExt spid="_x0000_s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Times New Roman"/>
                  <a:cs typeface="Times New Roman"/>
                </a:rPr>
                <a:t>Update region</a:t>
              </a:r>
              <a:r>
                <a:rPr lang="en-GB" sz="900" b="0" i="0" u="none" strike="noStrike" baseline="0">
                  <a:solidFill>
                    <a:srgbClr val="000000"/>
                  </a:solidFill>
                  <a:latin typeface="Times New Roman"/>
                  <a:cs typeface="Times New Roman"/>
                </a:rPr>
                <a:t> from the cursor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23</xdr:row>
          <xdr:rowOff>0</xdr:rowOff>
        </xdr:from>
        <xdr:to>
          <xdr:col>3</xdr:col>
          <xdr:colOff>76200</xdr:colOff>
          <xdr:row>25</xdr:row>
          <xdr:rowOff>19050</xdr:rowOff>
        </xdr:to>
        <xdr:sp macro="" textlink="">
          <xdr:nvSpPr>
            <xdr:cNvPr id="3187" name="Button 115" hidden="1">
              <a:extLst>
                <a:ext uri="{63B3BB69-23CF-44E3-9099-C40C66FF867C}">
                  <a14:compatExt spid="_x0000_s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Times New Roman"/>
                  <a:cs typeface="Times New Roman"/>
                </a:rPr>
                <a:t>Update active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23</xdr:row>
          <xdr:rowOff>0</xdr:rowOff>
        </xdr:from>
        <xdr:to>
          <xdr:col>12</xdr:col>
          <xdr:colOff>171450</xdr:colOff>
          <xdr:row>25</xdr:row>
          <xdr:rowOff>19050</xdr:rowOff>
        </xdr:to>
        <xdr:sp macro="" textlink="">
          <xdr:nvSpPr>
            <xdr:cNvPr id="3188" name="Button 116" hidden="1">
              <a:extLst>
                <a:ext uri="{63B3BB69-23CF-44E3-9099-C40C66FF867C}">
                  <a14:compatExt spid="_x0000_s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Times New Roman"/>
                  <a:cs typeface="Times New Roman"/>
                </a:rPr>
                <a:t>Create</a:t>
              </a:r>
              <a:r>
                <a:rPr lang="en-GB" sz="900" b="0" i="0" u="none" strike="noStrike" baseline="0">
                  <a:solidFill>
                    <a:srgbClr val="000000"/>
                  </a:solidFill>
                  <a:latin typeface="Times New Roman"/>
                  <a:cs typeface="Times New Roman"/>
                </a:rPr>
                <a:t> a new </a:t>
              </a:r>
              <a:r>
                <a:rPr lang="en-GB" sz="900" b="1" i="0" u="none" strike="noStrike" baseline="0">
                  <a:solidFill>
                    <a:srgbClr val="000000"/>
                  </a:solidFill>
                  <a:latin typeface="Times New Roman"/>
                  <a:cs typeface="Times New Roman"/>
                </a:rPr>
                <a:t>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22</xdr:row>
          <xdr:rowOff>152400</xdr:rowOff>
        </xdr:from>
        <xdr:to>
          <xdr:col>6</xdr:col>
          <xdr:colOff>76200</xdr:colOff>
          <xdr:row>25</xdr:row>
          <xdr:rowOff>38100</xdr:rowOff>
        </xdr:to>
        <xdr:sp macro="" textlink="">
          <xdr:nvSpPr>
            <xdr:cNvPr id="3189" name="Button 117" hidden="1">
              <a:extLst>
                <a:ext uri="{63B3BB69-23CF-44E3-9099-C40C66FF867C}">
                  <a14:compatExt spid="_x0000_s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Times"/>
                  <a:cs typeface="Times"/>
                </a:rPr>
                <a:t>SEC</a:t>
              </a:r>
              <a:r>
                <a:rPr lang="en-GB" sz="900" b="0" i="0" u="none" strike="noStrike" baseline="0">
                  <a:solidFill>
                    <a:srgbClr val="000000"/>
                  </a:solidFill>
                  <a:latin typeface="Times"/>
                  <a:cs typeface="Times"/>
                </a:rPr>
                <a:t> from the cursor for </a:t>
              </a:r>
              <a:r>
                <a:rPr lang="en-GB" sz="900" b="1" i="0" u="none" strike="noStrike" baseline="0">
                  <a:solidFill>
                    <a:srgbClr val="000000"/>
                  </a:solidFill>
                  <a:latin typeface="Times"/>
                  <a:cs typeface="Times"/>
                </a:rPr>
                <a:t>Model/Growth/NoGrowth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34</xdr:row>
      <xdr:rowOff>114300</xdr:rowOff>
    </xdr:from>
    <xdr:to>
      <xdr:col>7</xdr:col>
      <xdr:colOff>628650</xdr:colOff>
      <xdr:row>74</xdr:row>
      <xdr:rowOff>66675</xdr:rowOff>
    </xdr:to>
    <xdr:sp macro="" textlink="">
      <xdr:nvSpPr>
        <xdr:cNvPr id="7169" name="Text Box 1"/>
        <xdr:cNvSpPr txBox="1">
          <a:spLocks noChangeArrowheads="1"/>
        </xdr:cNvSpPr>
      </xdr:nvSpPr>
      <xdr:spPr bwMode="auto">
        <a:xfrm>
          <a:off x="76200" y="5695950"/>
          <a:ext cx="5705475" cy="64293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The DMpred sheet can be used to predict growth and survival curves of various bacteria. The curves (plotted on the chart) will be generated according to the same model that is available via </a:t>
          </a:r>
          <a:r>
            <a:rPr lang="en-GB" sz="1000" b="0" i="0" u="none" strike="noStrike" baseline="0">
              <a:solidFill>
                <a:srgbClr val="3333CC"/>
              </a:solidFill>
              <a:latin typeface="Arial"/>
              <a:cs typeface="Arial"/>
            </a:rPr>
            <a:t>www.combase.cc</a:t>
          </a:r>
          <a:r>
            <a:rPr lang="en-GB" sz="1000" b="0" i="0" u="none" strike="noStrike" baseline="0">
              <a:solidFill>
                <a:srgbClr val="000000"/>
              </a:solidFill>
              <a:latin typeface="Arial"/>
              <a:cs typeface="Arial"/>
            </a:rPr>
            <a:t> or </a:t>
          </a:r>
          <a:r>
            <a:rPr lang="en-GB" sz="1000" b="0" i="0" u="none" strike="noStrike" baseline="0">
              <a:solidFill>
                <a:srgbClr val="3333CC"/>
              </a:solidFill>
              <a:latin typeface="Arial"/>
              <a:cs typeface="Arial"/>
            </a:rPr>
            <a:t>http://ifrsvwwwdev/maftest/ComBasePredictor/ComBase_Predictor.aspx. </a:t>
          </a:r>
        </a:p>
        <a:p>
          <a:pPr algn="l" rtl="0">
            <a:defRPr sz="1000"/>
          </a:pPr>
          <a:r>
            <a:rPr lang="en-GB" sz="1000" b="0" i="0" u="none" strike="noStrike" baseline="0">
              <a:solidFill>
                <a:srgbClr val="000000"/>
              </a:solidFill>
              <a:latin typeface="Arial"/>
              <a:cs typeface="Arial"/>
            </a:rPr>
            <a:t>In rows 18-23, in the green area, input environmental factor values can be entered. </a:t>
          </a:r>
          <a:endParaRPr lang="en-GB" sz="1000" b="0" i="0" u="none" strike="noStrike" baseline="0">
            <a:solidFill>
              <a:srgbClr val="3333CC"/>
            </a:solidFill>
            <a:latin typeface="Arial"/>
            <a:cs typeface="Arial"/>
          </a:endParaRPr>
        </a:p>
        <a:p>
          <a:pPr algn="l" rtl="0">
            <a:defRPr sz="1000"/>
          </a:pPr>
          <a:r>
            <a:rPr lang="en-GB" sz="1000" b="0" i="0" u="none" strike="noStrike" baseline="0">
              <a:solidFill>
                <a:srgbClr val="000000"/>
              </a:solidFill>
              <a:latin typeface="Arial"/>
              <a:cs typeface="Arial"/>
            </a:rPr>
            <a:t>- The max.spec.rate (mumax) predictions (column D) are calculated from the entered factors. </a:t>
          </a:r>
        </a:p>
        <a:p>
          <a:pPr algn="l" rtl="0">
            <a:defRPr sz="1000"/>
          </a:pPr>
          <a:r>
            <a:rPr lang="en-GB" sz="1000" b="0" i="0" u="none" strike="noStrike" baseline="0">
              <a:solidFill>
                <a:srgbClr val="000000"/>
              </a:solidFill>
              <a:latin typeface="Arial"/>
              <a:cs typeface="Arial"/>
            </a:rPr>
            <a:t>- The lag  (or, with survival curves, shoulder; column B) is calculated from the alpha0 input values (column H), by lag=-ln(alpha0)/mumax.  A default alpha0 is used if it's cell is empty (see below).</a:t>
          </a:r>
        </a:p>
        <a:p>
          <a:pPr algn="l" rtl="0">
            <a:defRPr sz="1000"/>
          </a:pPr>
          <a:r>
            <a:rPr lang="en-GB" sz="1000" b="0" i="0" u="none" strike="noStrike" baseline="0">
              <a:solidFill>
                <a:srgbClr val="000000"/>
              </a:solidFill>
              <a:latin typeface="Arial"/>
              <a:cs typeface="Arial"/>
            </a:rPr>
            <a:t>- The first column will contain the predicted time to reach "n" log10 unit increase (taking account of lag, too), where n is set in the cell A14. For example, 1000-fold increase: n=3. </a:t>
          </a:r>
        </a:p>
        <a:p>
          <a:pPr algn="l" rtl="0">
            <a:defRPr sz="1000"/>
          </a:pPr>
          <a:r>
            <a:rPr lang="en-GB" sz="1000" b="0" i="0" u="none" strike="noStrike" baseline="0">
              <a:solidFill>
                <a:srgbClr val="000000"/>
              </a:solidFill>
              <a:latin typeface="Arial"/>
              <a:cs typeface="Arial"/>
            </a:rPr>
            <a:t>- The cell F11 can be used to set the observation time, therefore the scale of the plot..</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The user should input the values of the controlling factors in the columns I:Q and the codes of the organisms in the column F, according t the "Orgs" sheet. If a cell in column F is empty then no </a:t>
          </a:r>
        </a:p>
        <a:p>
          <a:pPr algn="l" rtl="0">
            <a:defRPr sz="1000"/>
          </a:pPr>
          <a:r>
            <a:rPr lang="en-GB" sz="1000" b="0" i="0" u="none" strike="noStrike" baseline="0">
              <a:solidFill>
                <a:srgbClr val="000000"/>
              </a:solidFill>
              <a:latin typeface="Arial"/>
              <a:cs typeface="Arial"/>
            </a:rPr>
            <a:t>prediction is given and the curve will not be plotted on the chart. </a:t>
          </a:r>
        </a:p>
        <a:p>
          <a:pPr algn="l" rtl="0">
            <a:defRPr sz="1000"/>
          </a:pPr>
          <a:r>
            <a:rPr lang="en-GB" sz="1000" b="0" i="0" u="none" strike="noStrike" baseline="0">
              <a:solidFill>
                <a:srgbClr val="000000"/>
              </a:solidFill>
              <a:latin typeface="Arial"/>
              <a:cs typeface="Arial"/>
            </a:rPr>
            <a:t>The first two environmental factors (columns I, J) are the temperature and pH. If they remain empty, then the default values are temp=20 C, pH=7.  </a:t>
          </a:r>
        </a:p>
        <a:p>
          <a:pPr algn="l" rtl="0">
            <a:defRPr sz="1000"/>
          </a:pPr>
          <a:r>
            <a:rPr lang="en-GB" sz="1000" b="0" i="0" u="none" strike="noStrike" baseline="0">
              <a:solidFill>
                <a:srgbClr val="000000"/>
              </a:solidFill>
              <a:latin typeface="Arial"/>
              <a:cs typeface="Arial"/>
            </a:rPr>
            <a:t>The third one (column K) is water activity (aw). It is interchangable with the fourth one, NaCl, based on  </a:t>
          </a:r>
        </a:p>
        <a:p>
          <a:pPr algn="l" rtl="0">
            <a:defRPr sz="1000"/>
          </a:pPr>
          <a:r>
            <a:rPr lang="en-GB" sz="1000" b="0" i="0" u="none" strike="noStrike" baseline="0">
              <a:solidFill>
                <a:srgbClr val="000000"/>
              </a:solidFill>
              <a:latin typeface="Arial"/>
              <a:cs typeface="Arial"/>
            </a:rPr>
            <a:t>aw=1-NaCl*(5.2471+0.12206*NaCl)/1000</a:t>
          </a:r>
        </a:p>
        <a:p>
          <a:pPr algn="l" rtl="0">
            <a:defRPr sz="1000"/>
          </a:pPr>
          <a:r>
            <a:rPr lang="en-GB" sz="1000" b="0" i="0" u="none" strike="noStrike" baseline="0">
              <a:solidFill>
                <a:srgbClr val="000000"/>
              </a:solidFill>
              <a:latin typeface="Arial"/>
              <a:cs typeface="Arial"/>
            </a:rPr>
            <a:t>NaCl=-21.493+SQRT(21.493^2+8192.7*(1-aw))</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If both fields contain numbers, the aw has priority and the calculated NaCl overwrites the inputted one.</a:t>
          </a:r>
        </a:p>
        <a:p>
          <a:pPr algn="l" rtl="0">
            <a:defRPr sz="1000"/>
          </a:pPr>
          <a:r>
            <a:rPr lang="en-GB" sz="1000" b="0" i="0" u="none" strike="noStrike" baseline="0">
              <a:solidFill>
                <a:srgbClr val="000000"/>
              </a:solidFill>
              <a:latin typeface="Arial"/>
              <a:cs typeface="Arial"/>
            </a:rPr>
            <a:t>In the column G, the inoculum sizes are to be typed as log10 cfu/ml. In the column H, the user should type the other initial value, alpha0, for each organism. Alpha0 characterizes the physiological state of the microbial population at the inoculation. This is a rescaled form of similar quantities denoted by h0 and q0 in Baranyi and Roberts (1994). Alpha0 is that proportion of the cells, which without lag would produce the same growth curvein the exponential phase as the original population with lag. Therefore its value can be between 0 and 1 only. </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ALWAYS CLEAR VISIBLE CELLS IN YELLOW ONLY!!!  NEVER DELETE OR CLEAR FULL ROWS/COLUMNS BECAUSE MANY FOMULAE ARE BEHIND THE VISIBLE AREA!!!</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When input data are ready you can get prediction either by updating the Active row only (where the cursor is) or all the six plotted curves, by clicking the respective UPDATE buttons.</a:t>
          </a:r>
        </a:p>
        <a:p>
          <a:pPr algn="l" rtl="0">
            <a:defRPr sz="1000"/>
          </a:pPr>
          <a:r>
            <a:rPr lang="en-GB" sz="1000" b="0" i="0" u="none" strike="noStrike" baseline="0">
              <a:solidFill>
                <a:srgbClr val="000000"/>
              </a:solidFill>
              <a:latin typeface="Arial"/>
              <a:cs typeface="Arial"/>
            </a:rPr>
            <a:t>When clicking the button SEC, bold italics rows will indicate the environmental factors which are outside the interpolation region where experiments were carried out and the results were used to create the model.</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In the second part of the sheet, from Row 25, a table of similar predictions can be obtained. The button "Create a new table" triggers a dialog box where the grid for new predictions can be set. </a:t>
          </a:r>
        </a:p>
        <a:p>
          <a:pPr algn="l" rtl="0">
            <a:defRPr sz="1000"/>
          </a:pPr>
          <a:endParaRPr lang="en-GB" sz="1000" b="0" i="0" u="none" strike="noStrike" baseline="0">
            <a:solidFill>
              <a:srgbClr val="000000"/>
            </a:solidFill>
            <a:latin typeface="Arial"/>
            <a:cs typeface="Aria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CD74"/>
  <sheetViews>
    <sheetView showGridLines="0" tabSelected="1" workbookViewId="0">
      <selection activeCell="F27" sqref="F27"/>
    </sheetView>
  </sheetViews>
  <sheetFormatPr defaultColWidth="6.375" defaultRowHeight="12.6" customHeight="1"/>
  <cols>
    <col min="1" max="1" width="7.25" style="101" customWidth="1"/>
    <col min="2" max="2" width="7.5" style="101" customWidth="1"/>
    <col min="3" max="3" width="8.625" style="101" customWidth="1"/>
    <col min="4" max="4" width="8.5" style="135" customWidth="1"/>
    <col min="5" max="5" width="6.375" style="114" customWidth="1"/>
    <col min="6" max="6" width="6.375" style="136" customWidth="1"/>
    <col min="7" max="7" width="5.5" style="101" customWidth="1"/>
    <col min="8" max="8" width="9.125" style="101" customWidth="1"/>
    <col min="9" max="9" width="5.75" style="101" customWidth="1"/>
    <col min="10" max="10" width="5.25" style="101" customWidth="1"/>
    <col min="11" max="11" width="7.5" style="101" customWidth="1"/>
    <col min="12" max="12" width="6.625" style="101" customWidth="1"/>
    <col min="13" max="13" width="5.625" style="101" customWidth="1"/>
    <col min="14" max="14" width="8.75" style="137" customWidth="1"/>
    <col min="15" max="15" width="8.625" style="101" customWidth="1"/>
    <col min="16" max="16" width="7.625" style="101" customWidth="1"/>
    <col min="17" max="17" width="4.625" style="101" customWidth="1"/>
    <col min="18" max="16384" width="6.375" style="101"/>
  </cols>
  <sheetData>
    <row r="1" spans="1:82" s="99" customFormat="1" ht="12.6" customHeight="1">
      <c r="A1" s="99" t="s">
        <v>288</v>
      </c>
      <c r="D1" s="96"/>
      <c r="E1" s="97"/>
      <c r="F1" s="98"/>
      <c r="H1" s="100"/>
      <c r="I1" s="96"/>
      <c r="K1" s="101"/>
      <c r="Q1" s="102"/>
      <c r="R1" s="101"/>
      <c r="T1" s="103"/>
      <c r="U1" s="96" t="s">
        <v>1</v>
      </c>
      <c r="V1" s="96"/>
      <c r="W1" s="96"/>
      <c r="X1" s="96"/>
      <c r="Y1" s="96"/>
      <c r="Z1" s="96"/>
      <c r="AA1" s="96"/>
      <c r="AB1" s="96"/>
      <c r="AC1" s="96"/>
      <c r="AD1" s="100"/>
      <c r="AE1" s="104"/>
      <c r="AF1" s="96"/>
      <c r="AG1" s="96"/>
      <c r="AM1" s="104"/>
    </row>
    <row r="2" spans="1:82" s="99" customFormat="1" ht="12.6" customHeight="1">
      <c r="A2" s="99" t="s">
        <v>278</v>
      </c>
      <c r="D2"/>
      <c r="E2" s="97"/>
      <c r="F2" s="98"/>
      <c r="H2" s="100"/>
      <c r="I2" s="96"/>
      <c r="K2" s="101"/>
      <c r="Q2" s="102"/>
      <c r="R2" s="101"/>
      <c r="T2" s="103"/>
      <c r="U2" s="96"/>
      <c r="V2" s="96"/>
      <c r="W2" s="96"/>
      <c r="X2" s="118" t="s">
        <v>3</v>
      </c>
      <c r="Y2" s="96"/>
      <c r="Z2" s="96"/>
      <c r="AA2" s="96"/>
      <c r="AB2" s="96"/>
      <c r="AC2" s="96"/>
      <c r="AD2" s="100"/>
      <c r="AE2" s="96"/>
      <c r="AF2" s="96"/>
      <c r="AG2" s="96"/>
    </row>
    <row r="3" spans="1:82" s="99" customFormat="1" ht="12.6" customHeight="1">
      <c r="A3" s="105" t="s">
        <v>2</v>
      </c>
      <c r="B3" s="105"/>
      <c r="C3" s="105"/>
      <c r="D3"/>
      <c r="E3" s="96"/>
      <c r="F3" s="96"/>
      <c r="H3" s="100"/>
      <c r="I3" s="96"/>
      <c r="K3" s="101"/>
      <c r="Q3" s="102"/>
      <c r="R3" s="101"/>
      <c r="T3" s="103"/>
      <c r="U3" s="96" t="s">
        <v>5</v>
      </c>
      <c r="V3" s="109">
        <v>2</v>
      </c>
      <c r="W3" s="96"/>
      <c r="X3" s="118" t="s">
        <v>6</v>
      </c>
      <c r="Y3" s="96"/>
      <c r="Z3" s="96"/>
      <c r="AA3" s="96"/>
      <c r="AB3" s="96"/>
      <c r="AC3" s="96"/>
      <c r="AD3" s="100"/>
      <c r="AE3" s="96"/>
      <c r="AF3" s="96"/>
      <c r="AG3" s="96"/>
      <c r="AH3" s="96"/>
      <c r="AI3" s="96"/>
    </row>
    <row r="4" spans="1:82" s="99" customFormat="1" ht="12.6" customHeight="1">
      <c r="A4" s="106" t="s">
        <v>4</v>
      </c>
      <c r="B4" s="107"/>
      <c r="C4" s="108"/>
      <c r="D4"/>
      <c r="E4" s="96"/>
      <c r="F4" s="96"/>
      <c r="H4" s="100"/>
      <c r="I4" s="96"/>
      <c r="K4" s="101"/>
      <c r="Q4" s="102"/>
      <c r="R4" s="101"/>
      <c r="T4" s="103"/>
      <c r="U4" s="96"/>
      <c r="V4" s="96"/>
      <c r="W4" s="96"/>
      <c r="X4" s="96"/>
      <c r="Y4" s="96"/>
      <c r="Z4" s="96"/>
      <c r="AA4" s="96"/>
      <c r="AB4" s="96"/>
      <c r="AC4" s="96"/>
      <c r="AD4" s="100"/>
      <c r="AE4" s="96"/>
      <c r="AF4" s="96"/>
      <c r="AG4" s="96"/>
      <c r="AH4" s="96"/>
      <c r="AI4" s="96"/>
      <c r="AQ4" s="96"/>
    </row>
    <row r="5" spans="1:82" s="99" customFormat="1" ht="12.6" customHeight="1">
      <c r="A5" s="110" t="s">
        <v>7</v>
      </c>
      <c r="B5" s="110"/>
      <c r="C5" s="110"/>
      <c r="D5"/>
      <c r="E5" s="96"/>
      <c r="F5" s="96"/>
      <c r="H5" s="100"/>
      <c r="I5" s="96"/>
      <c r="K5" s="101"/>
      <c r="Q5" s="102"/>
      <c r="R5" s="101"/>
      <c r="T5" s="103"/>
      <c r="U5" s="96"/>
      <c r="V5" s="96"/>
      <c r="W5" s="96"/>
      <c r="X5" s="96"/>
      <c r="Y5" s="96"/>
      <c r="Z5" s="96"/>
      <c r="AA5" s="96"/>
      <c r="AB5" s="96"/>
      <c r="AC5" s="96"/>
      <c r="AD5" s="100"/>
      <c r="AE5" s="96"/>
      <c r="AF5" s="96"/>
      <c r="AG5" s="96"/>
      <c r="AH5" s="96"/>
      <c r="AI5" s="96"/>
      <c r="AJ5" s="96"/>
      <c r="AK5" s="96"/>
      <c r="AL5" s="96"/>
      <c r="AM5" s="96"/>
      <c r="AN5" s="96"/>
      <c r="AO5" s="96"/>
      <c r="AP5" s="96"/>
      <c r="AQ5" s="96"/>
      <c r="AR5" s="96"/>
      <c r="AS5" s="96"/>
    </row>
    <row r="6" spans="1:82" s="99" customFormat="1" ht="12.6" customHeight="1">
      <c r="A6" s="235" t="s">
        <v>147</v>
      </c>
      <c r="B6" s="235" t="s">
        <v>148</v>
      </c>
      <c r="D6"/>
      <c r="E6" s="96"/>
      <c r="F6" s="96"/>
      <c r="H6" s="101"/>
      <c r="K6" s="101"/>
      <c r="Q6" s="102"/>
      <c r="R6" s="101"/>
      <c r="T6" s="103"/>
      <c r="U6" s="96" t="s">
        <v>8</v>
      </c>
      <c r="V6" s="109">
        <v>25</v>
      </c>
      <c r="W6" s="96"/>
      <c r="X6" s="96"/>
      <c r="Y6" s="96"/>
      <c r="Z6" s="96"/>
      <c r="AA6" s="96"/>
      <c r="AB6" s="96"/>
      <c r="AC6" s="96"/>
      <c r="AD6" s="100"/>
      <c r="AE6" s="96"/>
      <c r="AF6" s="96"/>
      <c r="AG6" s="96"/>
      <c r="AH6" s="96"/>
      <c r="AI6" s="96"/>
      <c r="AJ6" s="96"/>
      <c r="AK6" s="96"/>
      <c r="AL6" s="96"/>
      <c r="AM6" s="96"/>
      <c r="AN6" s="96"/>
      <c r="AO6" s="96"/>
      <c r="AP6" s="96"/>
      <c r="AQ6" s="96"/>
      <c r="AR6" s="96"/>
      <c r="AS6" s="96"/>
    </row>
    <row r="7" spans="1:82" s="99" customFormat="1" ht="12.6" customHeight="1">
      <c r="A7" s="235" t="s">
        <v>279</v>
      </c>
      <c r="B7" s="235"/>
      <c r="D7"/>
      <c r="E7" s="96"/>
      <c r="F7" s="96"/>
      <c r="H7" s="101"/>
      <c r="K7" s="101"/>
      <c r="Q7" s="102"/>
      <c r="R7" s="101"/>
      <c r="T7" s="103"/>
      <c r="U7" s="96"/>
      <c r="V7" s="96"/>
      <c r="W7" s="96"/>
      <c r="X7" s="96"/>
      <c r="Y7" s="96"/>
      <c r="Z7" s="96"/>
      <c r="AA7" s="96"/>
      <c r="AB7" s="96"/>
      <c r="AC7" s="96"/>
      <c r="AD7" s="100"/>
      <c r="AE7" s="96"/>
      <c r="AF7" s="96"/>
      <c r="AG7" s="96"/>
      <c r="AH7" s="96"/>
      <c r="AI7" s="96"/>
      <c r="AJ7" s="96"/>
      <c r="AK7" s="96"/>
      <c r="AL7" s="96"/>
      <c r="AM7" s="96"/>
      <c r="AN7" s="96"/>
      <c r="AO7" s="96"/>
      <c r="AP7" s="96"/>
      <c r="AQ7" s="96"/>
      <c r="AR7" s="96"/>
      <c r="AS7" s="96"/>
    </row>
    <row r="8" spans="1:82" s="99" customFormat="1" ht="12.6" customHeight="1">
      <c r="A8" s="235" t="s">
        <v>280</v>
      </c>
      <c r="D8"/>
      <c r="E8" s="96"/>
      <c r="F8" s="96"/>
      <c r="G8" s="96"/>
      <c r="H8" s="101"/>
      <c r="K8" s="101"/>
      <c r="Q8" s="102"/>
      <c r="R8" s="101"/>
      <c r="T8" s="103"/>
      <c r="U8" s="96"/>
      <c r="V8" s="96"/>
      <c r="W8" s="96"/>
      <c r="X8" s="96"/>
      <c r="Y8" s="96"/>
      <c r="Z8" s="96"/>
      <c r="AA8" s="96"/>
      <c r="AB8" s="96"/>
      <c r="AC8" s="96"/>
      <c r="AD8" s="100"/>
      <c r="AE8" s="96"/>
      <c r="AF8" s="96"/>
      <c r="AG8" s="96"/>
      <c r="AH8" s="96"/>
      <c r="AI8" s="96"/>
      <c r="AJ8" s="96"/>
      <c r="AK8" s="96"/>
      <c r="AL8" s="96"/>
      <c r="AM8" s="96"/>
      <c r="AN8" s="96"/>
      <c r="AO8" s="96"/>
      <c r="AP8" s="96"/>
      <c r="AQ8" s="96"/>
      <c r="AR8" s="96"/>
      <c r="AS8" s="96"/>
    </row>
    <row r="9" spans="1:82" s="99" customFormat="1" ht="12.6" customHeight="1">
      <c r="A9" s="237" t="s">
        <v>281</v>
      </c>
      <c r="C9" s="111"/>
      <c r="D9"/>
      <c r="E9" s="96"/>
      <c r="F9" s="96"/>
      <c r="G9" s="96"/>
      <c r="H9" s="101"/>
      <c r="K9" s="101"/>
      <c r="Q9" s="102"/>
      <c r="R9" s="101"/>
      <c r="T9" s="103"/>
      <c r="U9" s="96"/>
      <c r="V9" s="96"/>
      <c r="W9" s="96"/>
      <c r="X9" s="96"/>
      <c r="Y9" s="96"/>
      <c r="Z9" s="96"/>
      <c r="AA9" s="96"/>
      <c r="AB9" s="96"/>
      <c r="AC9" s="96"/>
      <c r="AD9" s="100"/>
      <c r="AE9" s="96"/>
      <c r="AF9" s="96"/>
      <c r="AG9" s="96"/>
      <c r="AH9" s="96"/>
      <c r="AI9" s="96"/>
      <c r="AJ9" s="96"/>
      <c r="AK9" s="96"/>
      <c r="AL9" s="96"/>
      <c r="AM9" s="96"/>
      <c r="AN9" s="96"/>
      <c r="AO9" s="96"/>
      <c r="AP9" s="96"/>
      <c r="AQ9" s="96"/>
      <c r="AR9" s="96"/>
      <c r="AS9" s="96"/>
    </row>
    <row r="10" spans="1:82" s="99" customFormat="1" ht="12.6" customHeight="1">
      <c r="A10" s="236" t="s">
        <v>277</v>
      </c>
      <c r="C10" s="95"/>
      <c r="D10" s="111"/>
      <c r="E10" s="96"/>
      <c r="F10" s="96"/>
      <c r="G10" s="96"/>
      <c r="H10" s="101"/>
      <c r="K10" s="101"/>
      <c r="Q10" s="102"/>
      <c r="R10" s="101"/>
      <c r="T10" s="103"/>
      <c r="U10" s="99" t="s">
        <v>9</v>
      </c>
      <c r="V10" s="112">
        <v>3</v>
      </c>
      <c r="X10" s="96"/>
      <c r="Y10" s="96"/>
      <c r="Z10" s="96"/>
      <c r="AA10" s="96"/>
      <c r="AB10" s="96"/>
      <c r="AC10" s="96"/>
      <c r="AD10" s="100"/>
      <c r="AE10" s="96"/>
      <c r="AF10" s="96"/>
      <c r="AG10" s="96"/>
      <c r="AH10" s="96"/>
      <c r="AI10" s="96"/>
      <c r="AJ10" s="96"/>
      <c r="AK10" s="96"/>
      <c r="AL10" s="96"/>
      <c r="AM10" s="96"/>
      <c r="AN10" s="96"/>
      <c r="AO10" s="96"/>
      <c r="AP10" s="96"/>
      <c r="AQ10" s="96"/>
      <c r="AR10" s="96"/>
      <c r="AS10" s="96"/>
    </row>
    <row r="11" spans="1:82" s="99" customFormat="1" ht="12.6" customHeight="1">
      <c r="C11" s="96"/>
      <c r="D11" s="96"/>
      <c r="E11" s="111" t="s">
        <v>10</v>
      </c>
      <c r="F11" s="113">
        <v>95</v>
      </c>
      <c r="G11" s="96"/>
      <c r="H11" s="114"/>
      <c r="K11" s="101"/>
      <c r="Q11" s="102"/>
      <c r="R11" s="101"/>
      <c r="T11" s="103"/>
      <c r="X11" s="96"/>
      <c r="Y11" s="96"/>
      <c r="Z11" s="96"/>
      <c r="AA11" s="96"/>
      <c r="AB11" s="96"/>
      <c r="AC11" s="96"/>
      <c r="AD11" s="100"/>
      <c r="AE11" s="96"/>
      <c r="AF11" s="96"/>
      <c r="AG11" s="96"/>
      <c r="AH11" s="96"/>
      <c r="AI11" s="96"/>
      <c r="AJ11" s="96"/>
      <c r="AK11" s="96"/>
      <c r="AL11" s="96"/>
      <c r="AM11" s="96"/>
      <c r="AN11" s="96"/>
      <c r="AO11" s="96"/>
      <c r="AP11" s="96"/>
      <c r="AQ11" s="96"/>
      <c r="AR11" s="96"/>
      <c r="AS11" s="96"/>
    </row>
    <row r="12" spans="1:82" s="99" customFormat="1" ht="12.6" customHeight="1">
      <c r="A12" s="96"/>
      <c r="B12" s="96"/>
      <c r="C12" s="100"/>
      <c r="D12" s="115"/>
      <c r="E12" s="233" t="s">
        <v>276</v>
      </c>
      <c r="F12" s="234">
        <f>F11/24</f>
        <v>3.9583333333333335</v>
      </c>
      <c r="G12" s="96"/>
      <c r="H12" s="116"/>
      <c r="I12" s="117"/>
      <c r="J12" s="96"/>
      <c r="K12" s="100"/>
      <c r="L12" s="96"/>
      <c r="M12" s="96"/>
      <c r="N12" s="96"/>
      <c r="Q12" s="102"/>
      <c r="R12" s="101"/>
      <c r="T12" s="103"/>
      <c r="U12" s="96"/>
      <c r="V12" s="96"/>
      <c r="W12" s="96"/>
      <c r="X12" s="96"/>
      <c r="Y12" s="96"/>
      <c r="Z12" s="96"/>
      <c r="AA12" s="96"/>
      <c r="AB12" s="96"/>
      <c r="AC12" s="96"/>
      <c r="AD12" s="100"/>
      <c r="AE12" s="96"/>
      <c r="AF12" s="96"/>
      <c r="AG12" s="96"/>
      <c r="AH12" s="96"/>
      <c r="AI12" s="96"/>
      <c r="AJ12" s="96"/>
      <c r="AK12" s="96"/>
      <c r="AL12" s="96"/>
      <c r="AM12" s="96"/>
      <c r="AN12" s="96"/>
      <c r="AO12" s="96"/>
      <c r="AP12" s="96"/>
      <c r="AQ12" s="96"/>
      <c r="AR12" s="96"/>
      <c r="AS12" s="96"/>
      <c r="AT12" s="101"/>
      <c r="AU12" s="101"/>
      <c r="AV12" s="101"/>
    </row>
    <row r="13" spans="1:82" s="142" customFormat="1" ht="12.6" customHeight="1">
      <c r="A13" s="138" t="s">
        <v>11</v>
      </c>
      <c r="B13" s="139"/>
      <c r="C13" s="140"/>
      <c r="D13" s="139"/>
      <c r="E13" s="139"/>
      <c r="F13" s="139"/>
      <c r="G13" s="139"/>
      <c r="H13" s="139"/>
      <c r="I13" s="139"/>
      <c r="J13" s="139"/>
      <c r="K13" s="141"/>
      <c r="N13" s="139"/>
      <c r="Q13" s="143"/>
      <c r="R13" s="141"/>
      <c r="T13" s="144"/>
      <c r="U13" s="139"/>
      <c r="V13" s="139"/>
      <c r="W13" s="139"/>
      <c r="X13" s="139"/>
      <c r="Y13" s="139"/>
      <c r="Z13" s="139"/>
      <c r="AA13" s="139"/>
      <c r="AB13" s="139"/>
      <c r="AC13" s="139"/>
      <c r="AD13" s="140"/>
      <c r="AE13" s="139"/>
      <c r="AF13" s="139"/>
      <c r="AG13" s="139"/>
      <c r="AI13" s="139"/>
      <c r="AJ13" s="139"/>
      <c r="AK13" s="139"/>
      <c r="AL13" s="139"/>
      <c r="AM13" s="139"/>
      <c r="AN13" s="139"/>
      <c r="AO13" s="139"/>
      <c r="AP13" s="139"/>
      <c r="AQ13" s="139"/>
      <c r="AR13" s="139"/>
    </row>
    <row r="14" spans="1:82" s="142" customFormat="1" ht="12.6" customHeight="1">
      <c r="A14" s="145">
        <v>3</v>
      </c>
      <c r="B14" s="146" t="s">
        <v>12</v>
      </c>
      <c r="C14" s="147" t="s">
        <v>13</v>
      </c>
      <c r="D14" s="148"/>
      <c r="E14" s="148" t="s">
        <v>14</v>
      </c>
      <c r="F14" s="149" t="s">
        <v>15</v>
      </c>
      <c r="G14" s="150"/>
      <c r="H14" s="151" t="s">
        <v>16</v>
      </c>
      <c r="I14" s="139"/>
      <c r="K14" s="139"/>
      <c r="Q14" s="143"/>
      <c r="R14" s="141"/>
      <c r="T14" s="144"/>
      <c r="U14" s="139"/>
      <c r="V14" s="139"/>
      <c r="W14" s="139"/>
      <c r="X14" s="139"/>
      <c r="Y14" s="139"/>
      <c r="Z14" s="139"/>
      <c r="AA14" s="139"/>
      <c r="AB14" s="139"/>
      <c r="AC14" s="139"/>
      <c r="AD14" s="140"/>
      <c r="AE14" s="139"/>
      <c r="AF14" s="139"/>
      <c r="AG14" s="139"/>
      <c r="AI14" s="139"/>
      <c r="AJ14" s="139"/>
      <c r="AK14" s="139"/>
      <c r="AL14" s="139"/>
      <c r="AM14" s="139"/>
      <c r="AN14" s="139"/>
      <c r="AO14" s="139"/>
      <c r="AP14" s="139"/>
      <c r="AQ14" s="139"/>
      <c r="AR14" s="139"/>
      <c r="AV14" s="139"/>
    </row>
    <row r="15" spans="1:82" s="157" customFormat="1" ht="12.6" customHeight="1">
      <c r="A15" s="150"/>
      <c r="B15" s="152" t="s">
        <v>17</v>
      </c>
      <c r="C15" s="153" t="s">
        <v>18</v>
      </c>
      <c r="D15" s="148" t="s">
        <v>19</v>
      </c>
      <c r="E15" s="153" t="s">
        <v>20</v>
      </c>
      <c r="F15" s="154" t="s">
        <v>21</v>
      </c>
      <c r="G15" s="155" t="s">
        <v>20</v>
      </c>
      <c r="H15" s="156" t="s">
        <v>22</v>
      </c>
      <c r="I15" s="138" t="s">
        <v>23</v>
      </c>
      <c r="J15" s="139"/>
      <c r="K15" s="140"/>
      <c r="L15" s="142"/>
      <c r="O15" s="139"/>
      <c r="Q15" s="158"/>
      <c r="R15" s="159"/>
      <c r="T15" s="160"/>
      <c r="U15" s="139"/>
      <c r="V15" s="139"/>
      <c r="W15" s="139"/>
      <c r="X15" s="139"/>
      <c r="Y15" s="139"/>
      <c r="Z15" s="139"/>
      <c r="AA15" s="139"/>
      <c r="AB15" s="139"/>
      <c r="AC15" s="139"/>
      <c r="AD15" s="140"/>
      <c r="AL15" s="139"/>
      <c r="AP15" s="139"/>
      <c r="BS15" s="138" t="s">
        <v>24</v>
      </c>
      <c r="BT15" s="139"/>
      <c r="BU15" s="161"/>
      <c r="BY15" s="139"/>
      <c r="CA15" s="158"/>
      <c r="CB15" s="159"/>
      <c r="CD15" s="160"/>
    </row>
    <row r="16" spans="1:82" s="169" customFormat="1" ht="12.6" customHeight="1">
      <c r="A16" s="189" t="s">
        <v>274</v>
      </c>
      <c r="B16" s="162" t="s">
        <v>26</v>
      </c>
      <c r="C16" s="163" t="s">
        <v>27</v>
      </c>
      <c r="D16" s="164" t="s">
        <v>28</v>
      </c>
      <c r="E16" s="165" t="s">
        <v>29</v>
      </c>
      <c r="F16" s="166" t="s">
        <v>30</v>
      </c>
      <c r="G16" s="167" t="s">
        <v>31</v>
      </c>
      <c r="H16" s="168" t="s">
        <v>32</v>
      </c>
      <c r="I16" s="167" t="s">
        <v>33</v>
      </c>
      <c r="J16" s="169" t="s">
        <v>34</v>
      </c>
      <c r="K16" s="170" t="s">
        <v>35</v>
      </c>
      <c r="L16" s="162" t="s">
        <v>36</v>
      </c>
      <c r="M16" s="169" t="s">
        <v>37</v>
      </c>
      <c r="N16" s="169" t="s">
        <v>38</v>
      </c>
      <c r="O16" s="169" t="s">
        <v>39</v>
      </c>
      <c r="P16" s="169" t="s">
        <v>40</v>
      </c>
      <c r="Q16" s="171" t="s">
        <v>41</v>
      </c>
      <c r="R16" s="172" t="s">
        <v>42</v>
      </c>
      <c r="S16" s="169" t="s">
        <v>43</v>
      </c>
      <c r="T16" s="173" t="s">
        <v>44</v>
      </c>
      <c r="U16" s="174"/>
      <c r="V16" s="174"/>
      <c r="W16" s="174"/>
      <c r="X16" s="174"/>
      <c r="Y16" s="174"/>
      <c r="Z16" s="174"/>
      <c r="AA16" s="174"/>
      <c r="AB16" s="174"/>
      <c r="AC16" s="174"/>
      <c r="AD16" s="174"/>
      <c r="AE16" s="174"/>
      <c r="AF16" s="175"/>
      <c r="AG16" s="175"/>
      <c r="AH16" s="175"/>
      <c r="AI16" s="174"/>
      <c r="AJ16" s="175"/>
      <c r="AK16" s="175"/>
      <c r="AL16" s="175"/>
      <c r="AM16" s="174"/>
      <c r="AN16" s="175"/>
      <c r="AO16" s="175"/>
      <c r="AP16" s="175"/>
      <c r="AQ16" s="174"/>
      <c r="AR16" s="175"/>
      <c r="AS16" s="175"/>
      <c r="AT16" s="175"/>
      <c r="AU16" s="175"/>
      <c r="AV16" s="175"/>
      <c r="AW16" s="175"/>
      <c r="AX16" s="175"/>
      <c r="AY16" s="175"/>
      <c r="AZ16" s="175"/>
      <c r="BA16" s="174"/>
      <c r="BB16" s="174"/>
      <c r="BC16" s="174"/>
      <c r="BD16" s="174"/>
      <c r="BE16" s="174"/>
      <c r="BF16" s="174"/>
      <c r="BG16" s="174"/>
      <c r="BH16" s="174"/>
      <c r="BI16" s="174"/>
      <c r="BJ16" s="174"/>
      <c r="BK16" s="174"/>
      <c r="BL16" s="174"/>
      <c r="BM16" s="174"/>
      <c r="BN16" s="174"/>
      <c r="BO16" s="174"/>
      <c r="BP16" s="149"/>
      <c r="BQ16" s="149"/>
      <c r="BR16" s="176"/>
      <c r="BS16" s="167" t="s">
        <v>45</v>
      </c>
      <c r="BT16" s="169" t="s">
        <v>46</v>
      </c>
      <c r="BU16" s="169" t="s">
        <v>47</v>
      </c>
      <c r="BV16" s="162" t="s">
        <v>48</v>
      </c>
      <c r="BW16" s="169" t="s">
        <v>49</v>
      </c>
      <c r="BX16" s="169" t="s">
        <v>50</v>
      </c>
      <c r="BY16" s="169" t="s">
        <v>51</v>
      </c>
      <c r="BZ16" s="169" t="s">
        <v>52</v>
      </c>
      <c r="CA16" s="171" t="s">
        <v>53</v>
      </c>
      <c r="CB16" s="172" t="s">
        <v>54</v>
      </c>
      <c r="CC16" s="169" t="s">
        <v>55</v>
      </c>
      <c r="CD16" s="173" t="s">
        <v>56</v>
      </c>
    </row>
    <row r="17" spans="1:82" s="178" customFormat="1" ht="12.6" customHeight="1">
      <c r="A17" s="177"/>
      <c r="B17" s="178" t="s">
        <v>57</v>
      </c>
      <c r="C17" s="179" t="s">
        <v>58</v>
      </c>
      <c r="D17" s="180" t="s">
        <v>59</v>
      </c>
      <c r="E17" s="179" t="s">
        <v>60</v>
      </c>
      <c r="F17" s="181"/>
      <c r="G17" s="182" t="s">
        <v>60</v>
      </c>
      <c r="H17" s="183" t="s">
        <v>61</v>
      </c>
      <c r="I17" s="182" t="s">
        <v>62</v>
      </c>
      <c r="J17" s="178" t="s">
        <v>61</v>
      </c>
      <c r="K17" s="184" t="s">
        <v>61</v>
      </c>
      <c r="L17" s="185" t="s">
        <v>63</v>
      </c>
      <c r="M17" s="185" t="s">
        <v>63</v>
      </c>
      <c r="N17" s="178" t="s">
        <v>64</v>
      </c>
      <c r="O17" s="178" t="s">
        <v>64</v>
      </c>
      <c r="P17" s="178" t="s">
        <v>64</v>
      </c>
      <c r="Q17" s="178" t="s">
        <v>64</v>
      </c>
      <c r="T17" s="186"/>
      <c r="U17" s="174" t="s">
        <v>65</v>
      </c>
      <c r="V17" s="175">
        <f>0</f>
        <v>0</v>
      </c>
      <c r="W17" s="175">
        <f>V17+$F$11/20</f>
        <v>4.75</v>
      </c>
      <c r="X17" s="175">
        <f t="shared" ref="X17:AM17" si="0">W17+$F$11/20</f>
        <v>9.5</v>
      </c>
      <c r="Y17" s="175">
        <f t="shared" si="0"/>
        <v>14.25</v>
      </c>
      <c r="Z17" s="175">
        <f t="shared" si="0"/>
        <v>19</v>
      </c>
      <c r="AA17" s="175">
        <f t="shared" si="0"/>
        <v>23.75</v>
      </c>
      <c r="AB17" s="175">
        <f t="shared" si="0"/>
        <v>28.5</v>
      </c>
      <c r="AC17" s="175">
        <f t="shared" si="0"/>
        <v>33.25</v>
      </c>
      <c r="AD17" s="175">
        <f t="shared" si="0"/>
        <v>38</v>
      </c>
      <c r="AE17" s="175">
        <f t="shared" si="0"/>
        <v>42.75</v>
      </c>
      <c r="AF17" s="175">
        <f t="shared" si="0"/>
        <v>47.5</v>
      </c>
      <c r="AG17" s="175">
        <f t="shared" si="0"/>
        <v>52.25</v>
      </c>
      <c r="AH17" s="175">
        <f t="shared" si="0"/>
        <v>57</v>
      </c>
      <c r="AI17" s="175">
        <f t="shared" si="0"/>
        <v>61.75</v>
      </c>
      <c r="AJ17" s="175">
        <f t="shared" si="0"/>
        <v>66.5</v>
      </c>
      <c r="AK17" s="175">
        <f t="shared" si="0"/>
        <v>71.25</v>
      </c>
      <c r="AL17" s="175">
        <f t="shared" si="0"/>
        <v>76</v>
      </c>
      <c r="AM17" s="175">
        <f t="shared" si="0"/>
        <v>80.75</v>
      </c>
      <c r="AN17" s="175">
        <f>AM17+$F$11/20</f>
        <v>85.5</v>
      </c>
      <c r="AO17" s="175">
        <f>AN17+$F$11/20</f>
        <v>90.25</v>
      </c>
      <c r="AP17" s="175">
        <f>AO17+$F$11/20</f>
        <v>95</v>
      </c>
      <c r="AQ17" s="174"/>
      <c r="AR17" s="174"/>
      <c r="AS17" s="174"/>
      <c r="AT17" s="174" t="str">
        <f t="shared" ref="AT17:BO17" si="1">U17</f>
        <v>time</v>
      </c>
      <c r="AU17" s="174">
        <f t="shared" si="1"/>
        <v>0</v>
      </c>
      <c r="AV17" s="174">
        <f t="shared" si="1"/>
        <v>4.75</v>
      </c>
      <c r="AW17" s="174">
        <f t="shared" si="1"/>
        <v>9.5</v>
      </c>
      <c r="AX17" s="174">
        <f t="shared" si="1"/>
        <v>14.25</v>
      </c>
      <c r="AY17" s="174">
        <f t="shared" si="1"/>
        <v>19</v>
      </c>
      <c r="AZ17" s="174">
        <f t="shared" si="1"/>
        <v>23.75</v>
      </c>
      <c r="BA17" s="174">
        <f t="shared" si="1"/>
        <v>28.5</v>
      </c>
      <c r="BB17" s="174">
        <f t="shared" si="1"/>
        <v>33.25</v>
      </c>
      <c r="BC17" s="174">
        <f t="shared" si="1"/>
        <v>38</v>
      </c>
      <c r="BD17" s="174">
        <f t="shared" si="1"/>
        <v>42.75</v>
      </c>
      <c r="BE17" s="174">
        <f t="shared" si="1"/>
        <v>47.5</v>
      </c>
      <c r="BF17" s="174">
        <f t="shared" si="1"/>
        <v>52.25</v>
      </c>
      <c r="BG17" s="174">
        <f t="shared" si="1"/>
        <v>57</v>
      </c>
      <c r="BH17" s="174">
        <f t="shared" si="1"/>
        <v>61.75</v>
      </c>
      <c r="BI17" s="174">
        <f t="shared" si="1"/>
        <v>66.5</v>
      </c>
      <c r="BJ17" s="174">
        <f t="shared" si="1"/>
        <v>71.25</v>
      </c>
      <c r="BK17" s="174">
        <f t="shared" si="1"/>
        <v>76</v>
      </c>
      <c r="BL17" s="174">
        <f t="shared" si="1"/>
        <v>80.75</v>
      </c>
      <c r="BM17" s="174">
        <f t="shared" si="1"/>
        <v>85.5</v>
      </c>
      <c r="BN17" s="174">
        <f t="shared" si="1"/>
        <v>90.25</v>
      </c>
      <c r="BO17" s="174">
        <f t="shared" si="1"/>
        <v>95</v>
      </c>
      <c r="BP17" s="174"/>
      <c r="BQ17" s="174"/>
      <c r="BR17" s="187"/>
      <c r="BS17" s="182"/>
      <c r="BU17" s="179"/>
      <c r="BV17" s="185"/>
      <c r="CA17" s="188"/>
      <c r="CD17" s="186"/>
    </row>
    <row r="18" spans="1:82" s="340" customFormat="1" ht="12.6" customHeight="1">
      <c r="A18" s="323">
        <f>IF(ABS($B18)&gt;0,$B18+$A$14*LN(10)/ABS($D18),$A$14*LN(10)/ABS($D18))</f>
        <v>19.004418450670933</v>
      </c>
      <c r="B18" s="323">
        <f>-LN($H18)/ABS($D18)</f>
        <v>5.8868043387119933</v>
      </c>
      <c r="C18" s="324">
        <v>1.316265106414926</v>
      </c>
      <c r="D18" s="323">
        <v>0.52660150085407231</v>
      </c>
      <c r="E18" s="325">
        <v>8.5217391304347796</v>
      </c>
      <c r="F18" s="326" t="s">
        <v>120</v>
      </c>
      <c r="G18" s="327">
        <v>3</v>
      </c>
      <c r="H18" s="328">
        <v>4.5049202393557801E-2</v>
      </c>
      <c r="I18" s="329">
        <v>20</v>
      </c>
      <c r="J18" s="329">
        <v>7</v>
      </c>
      <c r="K18" s="329">
        <v>0.99734593500000002</v>
      </c>
      <c r="L18" s="329">
        <v>0.5</v>
      </c>
      <c r="M18" s="330"/>
      <c r="N18" s="330"/>
      <c r="O18" s="330"/>
      <c r="P18" s="330"/>
      <c r="Q18" s="330"/>
      <c r="R18" s="330"/>
      <c r="S18" s="330"/>
      <c r="T18" s="331"/>
      <c r="U18" s="332" t="s">
        <v>67</v>
      </c>
      <c r="V18" s="333">
        <f>IF($E18&gt;$G18,$E18-LN(1+EXP(-ABS($D18)*AU18)*(10^ABS($E18-$G18)-1))/LN(10),$G18)</f>
        <v>3</v>
      </c>
      <c r="W18" s="333">
        <f t="shared" ref="W18:AP21" si="2">IF($E18&gt;$G18,$E18-LN(1+EXP(-ABS($D18)*AV18)*(10^ABS($E18-$G18)-1))/LN(10),$G18)</f>
        <v>3.1773937694644507</v>
      </c>
      <c r="X18" s="333">
        <f t="shared" si="2"/>
        <v>3.8841643424295</v>
      </c>
      <c r="Y18" s="333">
        <f t="shared" si="2"/>
        <v>4.9175988523211203</v>
      </c>
      <c r="Z18" s="333">
        <f t="shared" si="2"/>
        <v>5.9981037363272538</v>
      </c>
      <c r="AA18" s="333">
        <f t="shared" si="2"/>
        <v>7.0697346748140806</v>
      </c>
      <c r="AB18" s="333">
        <f t="shared" si="2"/>
        <v>8.0113003652006256</v>
      </c>
      <c r="AC18" s="333">
        <f t="shared" si="2"/>
        <v>8.4485498979544591</v>
      </c>
      <c r="AD18" s="333">
        <f t="shared" si="2"/>
        <v>8.5152530378932081</v>
      </c>
      <c r="AE18" s="333">
        <f t="shared" si="2"/>
        <v>8.5212037815034627</v>
      </c>
      <c r="AF18" s="333">
        <f t="shared" si="2"/>
        <v>8.5216952210764934</v>
      </c>
      <c r="AG18" s="333">
        <f t="shared" si="2"/>
        <v>8.5217355308562972</v>
      </c>
      <c r="AH18" s="333">
        <f t="shared" si="2"/>
        <v>8.5217388353629833</v>
      </c>
      <c r="AI18" s="333">
        <f t="shared" si="2"/>
        <v>8.5217391062466525</v>
      </c>
      <c r="AJ18" s="333">
        <f t="shared" si="2"/>
        <v>8.5217391284519906</v>
      </c>
      <c r="AK18" s="333">
        <f t="shared" si="2"/>
        <v>8.5217391302722429</v>
      </c>
      <c r="AL18" s="333">
        <f t="shared" si="2"/>
        <v>8.5217391304214551</v>
      </c>
      <c r="AM18" s="333">
        <f t="shared" si="2"/>
        <v>8.5217391304336871</v>
      </c>
      <c r="AN18" s="333">
        <f t="shared" si="2"/>
        <v>8.5217391304346908</v>
      </c>
      <c r="AO18" s="333">
        <f t="shared" si="2"/>
        <v>8.5217391304347725</v>
      </c>
      <c r="AP18" s="333">
        <f t="shared" si="2"/>
        <v>8.5217391304347796</v>
      </c>
      <c r="AQ18" s="333"/>
      <c r="AR18" s="333"/>
      <c r="AS18" s="333"/>
      <c r="AT18" s="334"/>
      <c r="AU18" s="333">
        <f>IF($H18&gt;0,AU$17+LN($H18+(1-$H18)*EXP(-ABS($D18*AU$17)))/ABS($D18),0)</f>
        <v>0</v>
      </c>
      <c r="AV18" s="333">
        <f t="shared" ref="AV18:BO21" si="3">IF($H18&gt;0,AV$17+LN($H18+(1-$H18)*EXP(-ABS($D18*AV$17)))/ABS($D18),0)</f>
        <v>0.7756638862503733</v>
      </c>
      <c r="AW18" s="333">
        <f t="shared" si="3"/>
        <v>3.8660802536144905</v>
      </c>
      <c r="AX18" s="333">
        <f t="shared" si="3"/>
        <v>8.3852407426864417</v>
      </c>
      <c r="AY18" s="333">
        <f t="shared" si="3"/>
        <v>13.11501243835146</v>
      </c>
      <c r="AZ18" s="333">
        <f t="shared" si="3"/>
        <v>17.8633446545977</v>
      </c>
      <c r="BA18" s="333">
        <f t="shared" si="3"/>
        <v>22.613207875256911</v>
      </c>
      <c r="BB18" s="333">
        <f t="shared" si="3"/>
        <v>27.36319666251487</v>
      </c>
      <c r="BC18" s="333">
        <f t="shared" si="3"/>
        <v>32.113195743362269</v>
      </c>
      <c r="BD18" s="333">
        <f t="shared" si="3"/>
        <v>36.863195668015933</v>
      </c>
      <c r="BE18" s="333">
        <f t="shared" si="3"/>
        <v>41.613195661839519</v>
      </c>
      <c r="BF18" s="333">
        <f t="shared" si="3"/>
        <v>46.363195661333215</v>
      </c>
      <c r="BG18" s="333">
        <f t="shared" si="3"/>
        <v>51.113195661291712</v>
      </c>
      <c r="BH18" s="333">
        <f t="shared" si="3"/>
        <v>55.863195661288309</v>
      </c>
      <c r="BI18" s="333">
        <f t="shared" si="3"/>
        <v>60.613195661288032</v>
      </c>
      <c r="BJ18" s="333">
        <f t="shared" si="3"/>
        <v>65.363195661288003</v>
      </c>
      <c r="BK18" s="333">
        <f t="shared" si="3"/>
        <v>70.113195661288003</v>
      </c>
      <c r="BL18" s="333">
        <f t="shared" si="3"/>
        <v>74.863195661288003</v>
      </c>
      <c r="BM18" s="333">
        <f t="shared" si="3"/>
        <v>79.613195661288003</v>
      </c>
      <c r="BN18" s="333">
        <f t="shared" si="3"/>
        <v>84.363195661288003</v>
      </c>
      <c r="BO18" s="333">
        <f t="shared" si="3"/>
        <v>89.113195661288003</v>
      </c>
      <c r="BP18" s="333"/>
      <c r="BQ18" s="333"/>
      <c r="BR18" s="335"/>
      <c r="BS18" s="336">
        <f>temp</f>
        <v>20</v>
      </c>
      <c r="BT18" s="336">
        <f>pH</f>
        <v>7</v>
      </c>
      <c r="BU18" s="337">
        <f>IF(aw&gt;0,SQRT(1-aw),SQRT(NaCl*(5.2471+0.12206*NaCl)/1000))</f>
        <v>5.1517618345571677E-2</v>
      </c>
      <c r="BV18" s="336"/>
      <c r="BW18" s="336"/>
      <c r="BX18" s="336"/>
      <c r="BY18" s="336"/>
      <c r="BZ18" s="336"/>
      <c r="CA18" s="338"/>
      <c r="CB18" s="336"/>
      <c r="CC18" s="336"/>
      <c r="CD18" s="339"/>
    </row>
    <row r="19" spans="1:82" s="344" customFormat="1" ht="12.6" customHeight="1">
      <c r="A19" s="323">
        <f>IF(ABS($B19)&gt;0,$B19+$A$14*LN(10)/ABS($D19),$A$14*LN(10)/ABS($D19))</f>
        <v>19.004418450670933</v>
      </c>
      <c r="B19" s="323">
        <f>-LN($H19)/ABS($D19)</f>
        <v>5.8868043387119933</v>
      </c>
      <c r="C19" s="324">
        <v>1.316265106414926</v>
      </c>
      <c r="D19" s="323">
        <v>0.52660150085407231</v>
      </c>
      <c r="E19" s="325">
        <v>8.5217391304347796</v>
      </c>
      <c r="F19" s="326" t="s">
        <v>120</v>
      </c>
      <c r="G19" s="327">
        <v>3</v>
      </c>
      <c r="H19" s="328">
        <v>4.5049202393557801E-2</v>
      </c>
      <c r="I19" s="329">
        <v>20</v>
      </c>
      <c r="J19" s="329">
        <v>7</v>
      </c>
      <c r="K19" s="329">
        <v>0.99734593500000002</v>
      </c>
      <c r="L19" s="329">
        <v>0.5</v>
      </c>
      <c r="M19" s="330"/>
      <c r="N19" s="330"/>
      <c r="O19" s="330"/>
      <c r="P19" s="330"/>
      <c r="Q19" s="330"/>
      <c r="R19" s="330"/>
      <c r="S19" s="341"/>
      <c r="T19" s="331"/>
      <c r="U19" s="332" t="s">
        <v>69</v>
      </c>
      <c r="V19" s="342">
        <f>IF($E19&gt;$G19,$E19-LN(1+EXP(-ABS($D19)*AU19)*(10^ABS($E19-$G19)-1))/LN(10),$G19)</f>
        <v>3</v>
      </c>
      <c r="W19" s="342">
        <f t="shared" si="2"/>
        <v>3.1773937694644507</v>
      </c>
      <c r="X19" s="342">
        <f t="shared" si="2"/>
        <v>3.8841643424295</v>
      </c>
      <c r="Y19" s="342">
        <f t="shared" si="2"/>
        <v>4.9175988523211203</v>
      </c>
      <c r="Z19" s="342">
        <f t="shared" si="2"/>
        <v>5.9981037363272538</v>
      </c>
      <c r="AA19" s="342">
        <f t="shared" si="2"/>
        <v>7.0697346748140806</v>
      </c>
      <c r="AB19" s="342">
        <f t="shared" si="2"/>
        <v>8.0113003652006256</v>
      </c>
      <c r="AC19" s="342">
        <f t="shared" si="2"/>
        <v>8.4485498979544591</v>
      </c>
      <c r="AD19" s="342">
        <f t="shared" si="2"/>
        <v>8.5152530378932081</v>
      </c>
      <c r="AE19" s="342">
        <f t="shared" si="2"/>
        <v>8.5212037815034627</v>
      </c>
      <c r="AF19" s="342">
        <f t="shared" si="2"/>
        <v>8.5216952210764934</v>
      </c>
      <c r="AG19" s="342">
        <f t="shared" si="2"/>
        <v>8.5217355308562972</v>
      </c>
      <c r="AH19" s="342">
        <f t="shared" si="2"/>
        <v>8.5217388353629833</v>
      </c>
      <c r="AI19" s="342">
        <f t="shared" si="2"/>
        <v>8.5217391062466525</v>
      </c>
      <c r="AJ19" s="342">
        <f t="shared" si="2"/>
        <v>8.5217391284519906</v>
      </c>
      <c r="AK19" s="342">
        <f t="shared" si="2"/>
        <v>8.5217391302722429</v>
      </c>
      <c r="AL19" s="342">
        <f t="shared" si="2"/>
        <v>8.5217391304214551</v>
      </c>
      <c r="AM19" s="342">
        <f t="shared" si="2"/>
        <v>8.5217391304336871</v>
      </c>
      <c r="AN19" s="342">
        <f t="shared" si="2"/>
        <v>8.5217391304346908</v>
      </c>
      <c r="AO19" s="342">
        <f t="shared" si="2"/>
        <v>8.5217391304347725</v>
      </c>
      <c r="AP19" s="342">
        <f t="shared" si="2"/>
        <v>8.5217391304347796</v>
      </c>
      <c r="AQ19" s="342"/>
      <c r="AR19" s="342"/>
      <c r="AS19" s="342"/>
      <c r="AT19" s="334"/>
      <c r="AU19" s="333">
        <f>IF($H19&gt;0,AU$17+LN($H19+(1-$H19)*EXP(-ABS($D19*AU$17)))/ABS($D19),0)</f>
        <v>0</v>
      </c>
      <c r="AV19" s="333">
        <f t="shared" si="3"/>
        <v>0.7756638862503733</v>
      </c>
      <c r="AW19" s="333">
        <f t="shared" si="3"/>
        <v>3.8660802536144905</v>
      </c>
      <c r="AX19" s="333">
        <f t="shared" si="3"/>
        <v>8.3852407426864417</v>
      </c>
      <c r="AY19" s="333">
        <f t="shared" si="3"/>
        <v>13.11501243835146</v>
      </c>
      <c r="AZ19" s="333">
        <f t="shared" si="3"/>
        <v>17.8633446545977</v>
      </c>
      <c r="BA19" s="333">
        <f t="shared" si="3"/>
        <v>22.613207875256911</v>
      </c>
      <c r="BB19" s="333">
        <f t="shared" si="3"/>
        <v>27.36319666251487</v>
      </c>
      <c r="BC19" s="333">
        <f t="shared" si="3"/>
        <v>32.113195743362269</v>
      </c>
      <c r="BD19" s="333">
        <f t="shared" si="3"/>
        <v>36.863195668015933</v>
      </c>
      <c r="BE19" s="333">
        <f t="shared" si="3"/>
        <v>41.613195661839519</v>
      </c>
      <c r="BF19" s="333">
        <f t="shared" si="3"/>
        <v>46.363195661333215</v>
      </c>
      <c r="BG19" s="333">
        <f t="shared" si="3"/>
        <v>51.113195661291712</v>
      </c>
      <c r="BH19" s="333">
        <f t="shared" si="3"/>
        <v>55.863195661288309</v>
      </c>
      <c r="BI19" s="333">
        <f t="shared" si="3"/>
        <v>60.613195661288032</v>
      </c>
      <c r="BJ19" s="333">
        <f t="shared" si="3"/>
        <v>65.363195661288003</v>
      </c>
      <c r="BK19" s="333">
        <f t="shared" si="3"/>
        <v>70.113195661288003</v>
      </c>
      <c r="BL19" s="333">
        <f t="shared" si="3"/>
        <v>74.863195661288003</v>
      </c>
      <c r="BM19" s="333">
        <f t="shared" si="3"/>
        <v>79.613195661288003</v>
      </c>
      <c r="BN19" s="333">
        <f t="shared" si="3"/>
        <v>84.363195661288003</v>
      </c>
      <c r="BO19" s="333">
        <f t="shared" si="3"/>
        <v>89.113195661288003</v>
      </c>
      <c r="BP19" s="333"/>
      <c r="BQ19" s="333"/>
      <c r="BR19" s="335"/>
      <c r="BS19" s="336">
        <f>temp</f>
        <v>20</v>
      </c>
      <c r="BT19" s="336">
        <f>pH</f>
        <v>7</v>
      </c>
      <c r="BU19" s="337">
        <f>IF(aw&gt;0,SQRT(1-aw),SQRT(NaCl*(5.2471+0.12206*NaCl)/1000))</f>
        <v>5.1517618345571677E-2</v>
      </c>
      <c r="BV19" s="336"/>
      <c r="BW19" s="343"/>
      <c r="BX19" s="343"/>
      <c r="BY19" s="343"/>
      <c r="BZ19" s="343"/>
      <c r="CA19" s="338"/>
      <c r="CB19" s="336"/>
      <c r="CC19" s="343"/>
      <c r="CD19" s="339"/>
    </row>
    <row r="20" spans="1:82" s="344" customFormat="1" ht="12.6" customHeight="1">
      <c r="A20" s="323">
        <f>IF(ABS($B20)&gt;0,$B20+$A$14*LN(10)/ABS($D20),$A$14*LN(10)/ABS($D20))</f>
        <v>128.88225080806464</v>
      </c>
      <c r="B20" s="323">
        <f>-LN($H20)/ABS($D20)</f>
        <v>39.922536709514347</v>
      </c>
      <c r="C20" s="324">
        <v>8.926514116451866</v>
      </c>
      <c r="D20" s="323">
        <v>7.7650376341471497E-2</v>
      </c>
      <c r="E20" s="325">
        <v>8.5217391304347796</v>
      </c>
      <c r="F20" s="326" t="s">
        <v>120</v>
      </c>
      <c r="G20" s="327">
        <v>3</v>
      </c>
      <c r="H20" s="328">
        <v>4.5049202393557801E-2</v>
      </c>
      <c r="I20" s="329">
        <v>10</v>
      </c>
      <c r="J20" s="329">
        <v>7</v>
      </c>
      <c r="K20" s="329">
        <v>0.99734593500000002</v>
      </c>
      <c r="L20" s="329">
        <v>0.5</v>
      </c>
      <c r="M20" s="330"/>
      <c r="N20" s="330"/>
      <c r="O20" s="330"/>
      <c r="P20" s="330"/>
      <c r="Q20" s="330"/>
      <c r="R20" s="330"/>
      <c r="S20" s="341"/>
      <c r="T20" s="331"/>
      <c r="U20" s="332" t="s">
        <v>73</v>
      </c>
      <c r="V20" s="342">
        <f>IF($E20&gt;$G20,$E20-LN(1+EXP(-ABS($D20)*AU20)*(10^ABS($E20-$G20)-1))/LN(10),$G20)</f>
        <v>3</v>
      </c>
      <c r="W20" s="342">
        <f t="shared" si="2"/>
        <v>3.0086403501041188</v>
      </c>
      <c r="X20" s="342">
        <f t="shared" si="2"/>
        <v>3.0208383840810784</v>
      </c>
      <c r="Y20" s="342">
        <f t="shared" si="2"/>
        <v>3.0378927194713645</v>
      </c>
      <c r="Z20" s="342">
        <f t="shared" si="2"/>
        <v>3.0614269507346652</v>
      </c>
      <c r="AA20" s="342">
        <f t="shared" si="2"/>
        <v>3.0933504996932131</v>
      </c>
      <c r="AB20" s="342">
        <f t="shared" si="2"/>
        <v>3.1357219928379676</v>
      </c>
      <c r="AC20" s="342">
        <f t="shared" si="2"/>
        <v>3.1904954544080697</v>
      </c>
      <c r="AD20" s="342">
        <f t="shared" si="2"/>
        <v>3.2591802514992851</v>
      </c>
      <c r="AE20" s="342">
        <f t="shared" si="2"/>
        <v>3.3425141580587177</v>
      </c>
      <c r="AF20" s="342">
        <f t="shared" si="2"/>
        <v>3.440283586340783</v>
      </c>
      <c r="AG20" s="342">
        <f t="shared" si="2"/>
        <v>3.5513769322668276</v>
      </c>
      <c r="AH20" s="342">
        <f t="shared" si="2"/>
        <v>3.6740447145391588</v>
      </c>
      <c r="AI20" s="342">
        <f t="shared" si="2"/>
        <v>3.806248276468537</v>
      </c>
      <c r="AJ20" s="342">
        <f t="shared" si="2"/>
        <v>3.945970071267114</v>
      </c>
      <c r="AK20" s="342">
        <f t="shared" si="2"/>
        <v>4.0914158584275837</v>
      </c>
      <c r="AL20" s="342">
        <f t="shared" si="2"/>
        <v>4.2411041559520761</v>
      </c>
      <c r="AM20" s="342">
        <f t="shared" si="2"/>
        <v>4.393874159832122</v>
      </c>
      <c r="AN20" s="342">
        <f t="shared" si="2"/>
        <v>4.5488492716418225</v>
      </c>
      <c r="AO20" s="342">
        <f t="shared" si="2"/>
        <v>4.7053842275802236</v>
      </c>
      <c r="AP20" s="342">
        <f t="shared" si="2"/>
        <v>4.8630120486685335</v>
      </c>
      <c r="AQ20" s="342"/>
      <c r="AR20" s="342"/>
      <c r="AS20" s="342"/>
      <c r="AT20" s="334"/>
      <c r="AU20" s="333">
        <f>IF($H20&gt;0,AU$17+LN($H20+(1-$H20)*EXP(-ABS($D20*AU$17)))/ABS($D20),0)</f>
        <v>0</v>
      </c>
      <c r="AV20" s="333">
        <f t="shared" si="3"/>
        <v>0.25621513670698448</v>
      </c>
      <c r="AW20" s="333">
        <f t="shared" si="3"/>
        <v>0.61792746734232118</v>
      </c>
      <c r="AX20" s="333">
        <f t="shared" si="3"/>
        <v>1.1236453618186211</v>
      </c>
      <c r="AY20" s="333">
        <f t="shared" si="3"/>
        <v>1.821513877069588</v>
      </c>
      <c r="AZ20" s="333">
        <f t="shared" si="3"/>
        <v>2.7681538767414047</v>
      </c>
      <c r="BA20" s="333">
        <f t="shared" si="3"/>
        <v>4.0246107704905327</v>
      </c>
      <c r="BB20" s="333">
        <f t="shared" si="3"/>
        <v>5.64882838138805</v>
      </c>
      <c r="BC20" s="333">
        <f t="shared" si="3"/>
        <v>7.6855653104496611</v>
      </c>
      <c r="BD20" s="333">
        <f t="shared" si="3"/>
        <v>10.156700360183358</v>
      </c>
      <c r="BE20" s="333">
        <f t="shared" si="3"/>
        <v>13.055902009992039</v>
      </c>
      <c r="BF20" s="333">
        <f t="shared" si="3"/>
        <v>16.350210560550479</v>
      </c>
      <c r="BG20" s="333">
        <f t="shared" si="3"/>
        <v>19.987752508262517</v>
      </c>
      <c r="BH20" s="333">
        <f t="shared" si="3"/>
        <v>23.908081272637922</v>
      </c>
      <c r="BI20" s="333">
        <f t="shared" si="3"/>
        <v>28.051379011746711</v>
      </c>
      <c r="BJ20" s="333">
        <f t="shared" si="3"/>
        <v>32.364453631245929</v>
      </c>
      <c r="BK20" s="333">
        <f t="shared" si="3"/>
        <v>36.803393113484667</v>
      </c>
      <c r="BL20" s="333">
        <f t="shared" si="3"/>
        <v>41.333802930569547</v>
      </c>
      <c r="BM20" s="333">
        <f t="shared" si="3"/>
        <v>45.929728241941945</v>
      </c>
      <c r="BN20" s="333">
        <f t="shared" si="3"/>
        <v>50.572091480559891</v>
      </c>
      <c r="BO20" s="333">
        <f t="shared" si="3"/>
        <v>55.247127032486716</v>
      </c>
      <c r="BP20" s="333"/>
      <c r="BQ20" s="333"/>
      <c r="BR20" s="335"/>
      <c r="BS20" s="336">
        <f>temp</f>
        <v>10</v>
      </c>
      <c r="BT20" s="336">
        <f>pH</f>
        <v>7</v>
      </c>
      <c r="BU20" s="337">
        <f>IF(aw&gt;0,SQRT(1-aw),SQRT(NaCl*(5.2471+0.12206*NaCl)/1000))</f>
        <v>5.1517618345571677E-2</v>
      </c>
      <c r="BV20" s="336"/>
      <c r="BW20" s="343"/>
      <c r="BX20" s="343"/>
      <c r="BY20" s="343"/>
      <c r="BZ20" s="343"/>
      <c r="CA20" s="338"/>
      <c r="CB20" s="336"/>
      <c r="CC20" s="343"/>
      <c r="CD20" s="339"/>
    </row>
    <row r="21" spans="1:82" s="365" customFormat="1" ht="12.6" customHeight="1">
      <c r="A21" s="345">
        <f>IF(ABS($B21)&gt;0,$B21+$A$14*LN(10)/ABS($D21),$A$14*LN(10)/ABS($D21))</f>
        <v>13.024290322066577</v>
      </c>
      <c r="B21" s="345">
        <f>-LN($H21)/ABS($D21)</f>
        <v>4.0344012091503556</v>
      </c>
      <c r="C21" s="346">
        <v>0.90207542689361386</v>
      </c>
      <c r="D21" s="345">
        <v>0.76839159996505646</v>
      </c>
      <c r="E21" s="347">
        <v>8.5217391304347796</v>
      </c>
      <c r="F21" s="348" t="s">
        <v>120</v>
      </c>
      <c r="G21" s="349">
        <v>3</v>
      </c>
      <c r="H21" s="350">
        <v>4.5049202393557801E-2</v>
      </c>
      <c r="I21" s="351">
        <v>40</v>
      </c>
      <c r="J21" s="351">
        <v>7</v>
      </c>
      <c r="K21" s="351">
        <v>0.99734593500000002</v>
      </c>
      <c r="L21" s="351">
        <v>0.5</v>
      </c>
      <c r="M21" s="352"/>
      <c r="N21" s="352"/>
      <c r="O21" s="352"/>
      <c r="P21" s="352"/>
      <c r="Q21" s="352"/>
      <c r="R21" s="352"/>
      <c r="S21" s="353"/>
      <c r="T21" s="354"/>
      <c r="U21" s="355" t="s">
        <v>74</v>
      </c>
      <c r="V21" s="356">
        <f>IF($E21&gt;$G21,$E21-LN(1+EXP(-ABS($D21)*AU21)*(10^ABS($E21-$G21)-1))/LN(10),$G21)</f>
        <v>3</v>
      </c>
      <c r="W21" s="356">
        <f t="shared" si="2"/>
        <v>3.4294208147563277</v>
      </c>
      <c r="X21" s="356">
        <f t="shared" si="2"/>
        <v>4.8300050082880119</v>
      </c>
      <c r="Y21" s="356">
        <f t="shared" si="2"/>
        <v>6.4058537735982872</v>
      </c>
      <c r="Z21" s="356">
        <f t="shared" si="2"/>
        <v>7.8812883784470547</v>
      </c>
      <c r="AA21" s="356">
        <f t="shared" si="2"/>
        <v>8.4852718647591434</v>
      </c>
      <c r="AB21" s="356">
        <f t="shared" si="2"/>
        <v>8.5207513590499993</v>
      </c>
      <c r="AC21" s="356">
        <f t="shared" si="2"/>
        <v>8.5217134250878903</v>
      </c>
      <c r="AD21" s="356">
        <f t="shared" si="2"/>
        <v>8.5217384622110615</v>
      </c>
      <c r="AE21" s="356">
        <f t="shared" si="2"/>
        <v>8.5217391130644486</v>
      </c>
      <c r="AF21" s="356">
        <f t="shared" si="2"/>
        <v>8.5217391299832421</v>
      </c>
      <c r="AG21" s="356">
        <f t="shared" si="2"/>
        <v>8.5217391304230414</v>
      </c>
      <c r="AH21" s="356">
        <f t="shared" si="2"/>
        <v>8.5217391304344741</v>
      </c>
      <c r="AI21" s="356">
        <f t="shared" si="2"/>
        <v>8.5217391304347725</v>
      </c>
      <c r="AJ21" s="356">
        <f t="shared" si="2"/>
        <v>8.5217391304347796</v>
      </c>
      <c r="AK21" s="356">
        <f t="shared" si="2"/>
        <v>8.5217391304347796</v>
      </c>
      <c r="AL21" s="356">
        <f t="shared" si="2"/>
        <v>8.5217391304347796</v>
      </c>
      <c r="AM21" s="356">
        <f t="shared" si="2"/>
        <v>8.5217391304347796</v>
      </c>
      <c r="AN21" s="356">
        <f t="shared" si="2"/>
        <v>8.5217391304347796</v>
      </c>
      <c r="AO21" s="356">
        <f t="shared" si="2"/>
        <v>8.5217391304347796</v>
      </c>
      <c r="AP21" s="356">
        <f t="shared" si="2"/>
        <v>8.5217391304347796</v>
      </c>
      <c r="AQ21" s="356"/>
      <c r="AR21" s="356"/>
      <c r="AS21" s="356"/>
      <c r="AT21" s="357"/>
      <c r="AU21" s="358">
        <f>IF($H21&gt;0,AU$17+LN($H21+(1-$H21)*EXP(-ABS($D21*AU$17)))/ABS($D21),0)</f>
        <v>0</v>
      </c>
      <c r="AV21" s="358">
        <f t="shared" si="3"/>
        <v>1.2868217766836487</v>
      </c>
      <c r="AW21" s="358">
        <f t="shared" si="3"/>
        <v>5.4841081361832638</v>
      </c>
      <c r="AX21" s="358">
        <f t="shared" si="3"/>
        <v>10.216083284551306</v>
      </c>
      <c r="AY21" s="358">
        <f t="shared" si="3"/>
        <v>14.965611387433295</v>
      </c>
      <c r="AZ21" s="358">
        <f t="shared" si="3"/>
        <v>19.715599118296424</v>
      </c>
      <c r="BA21" s="358">
        <f t="shared" si="3"/>
        <v>24.465598799361548</v>
      </c>
      <c r="BB21" s="358">
        <f t="shared" si="3"/>
        <v>29.21559879107091</v>
      </c>
      <c r="BC21" s="358">
        <f t="shared" si="3"/>
        <v>33.965598790855395</v>
      </c>
      <c r="BD21" s="358">
        <f t="shared" si="3"/>
        <v>38.715598790849796</v>
      </c>
      <c r="BE21" s="358">
        <f t="shared" si="3"/>
        <v>43.465598790849647</v>
      </c>
      <c r="BF21" s="358">
        <f t="shared" si="3"/>
        <v>48.215598790849647</v>
      </c>
      <c r="BG21" s="358">
        <f t="shared" si="3"/>
        <v>52.965598790849647</v>
      </c>
      <c r="BH21" s="358">
        <f t="shared" si="3"/>
        <v>57.715598790849647</v>
      </c>
      <c r="BI21" s="358">
        <f t="shared" si="3"/>
        <v>62.465598790849647</v>
      </c>
      <c r="BJ21" s="358">
        <f t="shared" si="3"/>
        <v>67.21559879084964</v>
      </c>
      <c r="BK21" s="358">
        <f t="shared" si="3"/>
        <v>71.96559879084964</v>
      </c>
      <c r="BL21" s="358">
        <f t="shared" si="3"/>
        <v>76.71559879084964</v>
      </c>
      <c r="BM21" s="358">
        <f t="shared" si="3"/>
        <v>81.46559879084964</v>
      </c>
      <c r="BN21" s="358">
        <f t="shared" si="3"/>
        <v>86.21559879084964</v>
      </c>
      <c r="BO21" s="358">
        <f t="shared" si="3"/>
        <v>90.96559879084964</v>
      </c>
      <c r="BP21" s="358"/>
      <c r="BQ21" s="358"/>
      <c r="BR21" s="359"/>
      <c r="BS21" s="360">
        <f>temp</f>
        <v>40</v>
      </c>
      <c r="BT21" s="360">
        <f>pH</f>
        <v>7</v>
      </c>
      <c r="BU21" s="361">
        <f>IF(aw&gt;0,SQRT(1-aw),SQRT(NaCl*(5.2471+0.12206*NaCl)/1000))</f>
        <v>5.1517618345571677E-2</v>
      </c>
      <c r="BV21" s="360"/>
      <c r="BW21" s="362"/>
      <c r="BX21" s="362"/>
      <c r="BY21" s="362"/>
      <c r="BZ21" s="362"/>
      <c r="CA21" s="363"/>
      <c r="CB21" s="360"/>
      <c r="CC21" s="362"/>
      <c r="CD21" s="364"/>
    </row>
    <row r="22" spans="1:82" s="99" customFormat="1" ht="12.6" customHeight="1">
      <c r="A22" s="245"/>
      <c r="B22" s="245"/>
      <c r="C22" s="246"/>
      <c r="D22" s="245"/>
      <c r="E22" s="247"/>
      <c r="F22" s="248"/>
      <c r="G22" s="249"/>
      <c r="H22" s="250"/>
      <c r="I22" s="251"/>
      <c r="J22" s="251"/>
      <c r="K22" s="252"/>
      <c r="L22" s="252"/>
      <c r="M22" s="252"/>
      <c r="N22" s="252"/>
      <c r="O22" s="252"/>
      <c r="P22" s="252"/>
      <c r="Q22" s="252"/>
      <c r="R22" s="252"/>
      <c r="S22" s="254"/>
      <c r="T22" s="253"/>
      <c r="U22" s="128"/>
      <c r="V22" s="255"/>
      <c r="W22" s="255"/>
      <c r="X22" s="255"/>
      <c r="Y22" s="255"/>
      <c r="Z22" s="255"/>
      <c r="AA22" s="255"/>
      <c r="AB22" s="255"/>
      <c r="AC22" s="255"/>
      <c r="AD22" s="255"/>
      <c r="AE22" s="255"/>
      <c r="AF22" s="255"/>
      <c r="AG22" s="255"/>
      <c r="AH22" s="255"/>
      <c r="AI22" s="255"/>
      <c r="AJ22" s="255"/>
      <c r="AK22" s="255"/>
      <c r="AL22" s="255"/>
      <c r="AM22" s="255"/>
      <c r="AN22" s="255"/>
      <c r="AO22" s="255"/>
      <c r="AP22" s="255"/>
      <c r="AQ22" s="255"/>
      <c r="AR22" s="255"/>
      <c r="AS22" s="255"/>
      <c r="AT22" s="256"/>
      <c r="AU22" s="120">
        <f>IF($H22&gt;0,AU$17+LN($H22+(1-$H22)*EXP(-ABS($D22*AU$17)))/ABS($D22),0)</f>
        <v>0</v>
      </c>
      <c r="AV22" s="120">
        <f t="shared" ref="AV22:BO22" si="4">IF($H22&gt;0,AV$17+LN($H22+(1-$H22)*EXP(-ABS($D22*AV$17)))/ABS($D22),0)</f>
        <v>0</v>
      </c>
      <c r="AW22" s="120">
        <f t="shared" si="4"/>
        <v>0</v>
      </c>
      <c r="AX22" s="120">
        <f t="shared" si="4"/>
        <v>0</v>
      </c>
      <c r="AY22" s="120">
        <f t="shared" si="4"/>
        <v>0</v>
      </c>
      <c r="AZ22" s="120">
        <f t="shared" si="4"/>
        <v>0</v>
      </c>
      <c r="BA22" s="120">
        <f t="shared" si="4"/>
        <v>0</v>
      </c>
      <c r="BB22" s="120">
        <f t="shared" si="4"/>
        <v>0</v>
      </c>
      <c r="BC22" s="120">
        <f t="shared" si="4"/>
        <v>0</v>
      </c>
      <c r="BD22" s="120">
        <f t="shared" si="4"/>
        <v>0</v>
      </c>
      <c r="BE22" s="120">
        <f t="shared" si="4"/>
        <v>0</v>
      </c>
      <c r="BF22" s="120">
        <f t="shared" si="4"/>
        <v>0</v>
      </c>
      <c r="BG22" s="120">
        <f t="shared" si="4"/>
        <v>0</v>
      </c>
      <c r="BH22" s="120">
        <f t="shared" si="4"/>
        <v>0</v>
      </c>
      <c r="BI22" s="120">
        <f t="shared" si="4"/>
        <v>0</v>
      </c>
      <c r="BJ22" s="120">
        <f t="shared" si="4"/>
        <v>0</v>
      </c>
      <c r="BK22" s="120">
        <f t="shared" si="4"/>
        <v>0</v>
      </c>
      <c r="BL22" s="120">
        <f t="shared" si="4"/>
        <v>0</v>
      </c>
      <c r="BM22" s="120">
        <f t="shared" si="4"/>
        <v>0</v>
      </c>
      <c r="BN22" s="120">
        <f t="shared" si="4"/>
        <v>0</v>
      </c>
      <c r="BO22" s="120">
        <f t="shared" si="4"/>
        <v>0</v>
      </c>
      <c r="BP22" s="120"/>
      <c r="BQ22" s="120"/>
      <c r="BR22" s="257"/>
      <c r="BS22" s="258">
        <f>temp</f>
        <v>0</v>
      </c>
      <c r="BT22" s="258">
        <f>pH</f>
        <v>0</v>
      </c>
      <c r="BU22" s="259">
        <f>IF(aw&gt;0,SQRT(1-aw),SQRT(NaCl*(5.2471+0.12206*NaCl)/1000))</f>
        <v>0</v>
      </c>
      <c r="BV22" s="258"/>
      <c r="BW22" s="260"/>
      <c r="BX22" s="260"/>
      <c r="BY22" s="260"/>
      <c r="BZ22" s="260"/>
      <c r="CA22" s="261"/>
      <c r="CB22" s="258"/>
      <c r="CC22" s="260"/>
      <c r="CD22" s="262"/>
    </row>
    <row r="23" spans="1:82" ht="12.6" customHeight="1">
      <c r="A23" s="245"/>
      <c r="B23" s="245"/>
      <c r="C23" s="246"/>
      <c r="D23" s="263"/>
      <c r="E23" s="247"/>
      <c r="F23" s="248"/>
      <c r="G23" s="249"/>
      <c r="H23" s="250"/>
      <c r="I23" s="251"/>
      <c r="J23" s="251"/>
      <c r="K23" s="252"/>
      <c r="L23" s="252"/>
      <c r="M23" s="252"/>
      <c r="N23" s="252"/>
      <c r="O23" s="252"/>
      <c r="P23" s="252"/>
      <c r="Q23" s="252"/>
      <c r="R23" s="252"/>
      <c r="S23" s="252"/>
      <c r="T23" s="253"/>
      <c r="U23" s="128"/>
      <c r="V23" s="120"/>
      <c r="W23" s="120"/>
      <c r="X23" s="120"/>
      <c r="Y23" s="120"/>
      <c r="Z23" s="120"/>
      <c r="AA23" s="120"/>
      <c r="AB23" s="120"/>
      <c r="AC23" s="120"/>
      <c r="AD23" s="120"/>
      <c r="AE23" s="120"/>
      <c r="AF23" s="120"/>
      <c r="AG23" s="120"/>
      <c r="AH23" s="120"/>
      <c r="AI23" s="120"/>
      <c r="AJ23" s="120"/>
      <c r="AK23" s="120"/>
      <c r="AL23" s="120"/>
      <c r="AM23" s="120"/>
      <c r="AN23" s="120"/>
      <c r="AO23" s="120"/>
      <c r="AP23" s="120"/>
      <c r="AQ23" s="120"/>
      <c r="AR23" s="120"/>
      <c r="AS23" s="120"/>
      <c r="AT23" s="264"/>
      <c r="AU23" s="120"/>
      <c r="AV23" s="120"/>
      <c r="AW23" s="120"/>
      <c r="AX23" s="120"/>
      <c r="AY23" s="120"/>
      <c r="AZ23" s="120"/>
      <c r="BA23" s="120"/>
      <c r="BB23" s="120"/>
      <c r="BC23" s="120"/>
      <c r="BD23" s="120"/>
      <c r="BE23" s="120"/>
      <c r="BF23" s="120"/>
      <c r="BG23" s="120"/>
      <c r="BH23" s="120"/>
      <c r="BI23" s="120"/>
      <c r="BJ23" s="120"/>
      <c r="BK23" s="120"/>
      <c r="BL23" s="120"/>
      <c r="BM23" s="120"/>
      <c r="BN23" s="120"/>
      <c r="BO23" s="120"/>
      <c r="BP23" s="120"/>
      <c r="BQ23" s="120"/>
      <c r="BR23" s="257"/>
      <c r="BS23" s="258"/>
      <c r="BT23" s="258"/>
      <c r="BU23" s="259"/>
      <c r="BV23" s="258"/>
      <c r="BW23" s="258"/>
      <c r="BX23" s="258"/>
      <c r="BY23" s="258"/>
      <c r="BZ23" s="258"/>
      <c r="CA23" s="261"/>
      <c r="CB23" s="258"/>
      <c r="CC23" s="258"/>
      <c r="CD23" s="262"/>
    </row>
    <row r="24" spans="1:82" s="238" customFormat="1" ht="12.6" customHeight="1">
      <c r="C24" s="239"/>
      <c r="D24" s="240"/>
      <c r="E24" s="241"/>
      <c r="F24" s="242"/>
      <c r="T24" s="243"/>
      <c r="BR24" s="243"/>
      <c r="BU24" s="239"/>
      <c r="CA24" s="244"/>
      <c r="CD24" s="243"/>
    </row>
    <row r="25" spans="1:82" s="99" customFormat="1" ht="12.6" customHeight="1">
      <c r="A25" s="96"/>
      <c r="B25" s="96"/>
      <c r="C25" s="121"/>
      <c r="D25" s="115"/>
      <c r="E25" s="97"/>
      <c r="F25" s="122"/>
      <c r="H25" s="101"/>
      <c r="I25" s="101"/>
      <c r="J25" s="101"/>
      <c r="K25" s="101"/>
      <c r="L25" s="101"/>
      <c r="M25" s="101"/>
      <c r="N25" s="101"/>
      <c r="O25" s="101"/>
      <c r="P25" s="101"/>
      <c r="Q25" s="101"/>
      <c r="R25" s="101"/>
      <c r="T25" s="103"/>
      <c r="Z25" s="96"/>
      <c r="AA25" s="96"/>
      <c r="AB25" s="96"/>
      <c r="AC25" s="96"/>
      <c r="BR25" s="103"/>
      <c r="BU25" s="123"/>
      <c r="CA25" s="102"/>
      <c r="CB25" s="101"/>
      <c r="CD25" s="103"/>
    </row>
    <row r="26" spans="1:82" s="157" customFormat="1" ht="12" customHeight="1">
      <c r="A26" s="189" t="s">
        <v>274</v>
      </c>
      <c r="B26" s="162" t="s">
        <v>26</v>
      </c>
      <c r="C26" s="165" t="s">
        <v>27</v>
      </c>
      <c r="D26" s="190" t="s">
        <v>28</v>
      </c>
      <c r="E26" s="165" t="s">
        <v>29</v>
      </c>
      <c r="F26" s="166" t="s">
        <v>30</v>
      </c>
      <c r="G26" s="191" t="s">
        <v>70</v>
      </c>
      <c r="H26" s="213" t="s">
        <v>32</v>
      </c>
      <c r="I26" s="172" t="s">
        <v>33</v>
      </c>
      <c r="J26" s="172" t="s">
        <v>34</v>
      </c>
      <c r="K26" s="172" t="s">
        <v>71</v>
      </c>
      <c r="L26" s="214" t="s">
        <v>36</v>
      </c>
      <c r="M26" s="172" t="s">
        <v>37</v>
      </c>
      <c r="N26" s="215" t="s">
        <v>38</v>
      </c>
      <c r="O26" s="172" t="s">
        <v>39</v>
      </c>
      <c r="P26" s="172" t="s">
        <v>40</v>
      </c>
      <c r="Q26" s="172" t="s">
        <v>41</v>
      </c>
      <c r="R26" s="172" t="s">
        <v>42</v>
      </c>
      <c r="S26" s="169" t="s">
        <v>43</v>
      </c>
      <c r="T26" s="173" t="s">
        <v>44</v>
      </c>
      <c r="U26" s="169"/>
      <c r="Z26" s="192"/>
      <c r="AA26" s="192"/>
      <c r="AB26" s="192"/>
      <c r="AC26" s="192"/>
      <c r="AD26" s="192"/>
      <c r="AE26" s="192"/>
      <c r="BR26" s="160"/>
      <c r="BS26" s="193" t="s">
        <v>45</v>
      </c>
      <c r="BT26" s="169" t="s">
        <v>46</v>
      </c>
      <c r="BU26" s="169" t="s">
        <v>47</v>
      </c>
      <c r="BV26" s="162" t="s">
        <v>48</v>
      </c>
      <c r="BW26" s="169" t="s">
        <v>49</v>
      </c>
      <c r="BX26" s="169" t="s">
        <v>50</v>
      </c>
      <c r="BY26" s="169" t="s">
        <v>51</v>
      </c>
      <c r="BZ26" s="169" t="s">
        <v>52</v>
      </c>
      <c r="CA26" s="171" t="s">
        <v>53</v>
      </c>
      <c r="CB26" s="172" t="s">
        <v>54</v>
      </c>
      <c r="CC26" s="169" t="s">
        <v>55</v>
      </c>
      <c r="CD26" s="173" t="s">
        <v>56</v>
      </c>
    </row>
    <row r="27" spans="1:82" s="322" customFormat="1" ht="12.6" customHeight="1">
      <c r="A27" s="314">
        <f>IF(ABS($B27)&gt;0,$B27+$A$14*LN(10)/ABS($D27),$A$14*LN(10)/ABS($D27))</f>
        <v>6.2898966243367092</v>
      </c>
      <c r="B27" s="314">
        <v>1.9483999999999999</v>
      </c>
      <c r="C27" s="315">
        <v>0.43564999999999998</v>
      </c>
      <c r="D27" s="316">
        <v>1.5911</v>
      </c>
      <c r="E27" s="314">
        <v>8.5</v>
      </c>
      <c r="F27" s="317" t="s">
        <v>287</v>
      </c>
      <c r="G27" s="318" t="s">
        <v>283</v>
      </c>
      <c r="H27" s="318">
        <v>4.5048999999999999E-2</v>
      </c>
      <c r="I27" s="319">
        <v>50</v>
      </c>
      <c r="J27" s="319">
        <v>7</v>
      </c>
      <c r="K27" s="319">
        <v>0.99734999999999996</v>
      </c>
      <c r="L27" s="319">
        <v>0.5</v>
      </c>
      <c r="M27" s="319"/>
      <c r="N27" s="319"/>
      <c r="O27" s="319"/>
      <c r="P27" s="319"/>
      <c r="Q27" s="319"/>
      <c r="R27" s="319"/>
      <c r="S27" s="320"/>
      <c r="T27" s="321"/>
      <c r="U27" s="322" t="s">
        <v>282</v>
      </c>
      <c r="BS27" s="322" t="e">
        <f t="shared" ref="BS27:BS36" si="5">temp</f>
        <v>#VALUE!</v>
      </c>
      <c r="BT27" s="322" t="e">
        <f t="shared" ref="BT27:BT36" si="6">pH</f>
        <v>#VALUE!</v>
      </c>
      <c r="BU27" s="322" t="e">
        <f t="shared" ref="BU27:BU36" si="7">IF(aw&gt;0,SQRT(1-aw),SQRT(NaCl*(5.2471+0.12206*NaCl)/1000))</f>
        <v>#VALUE!</v>
      </c>
    </row>
    <row r="28" spans="1:82" s="273" customFormat="1" ht="12.6" customHeight="1">
      <c r="A28" s="265">
        <f t="shared" ref="A28:A36" si="8">IF(ABS($B28)&gt;0,$B28+$A$14*LN(10)/ABS($D28),$A$14*LN(10)/ABS($D28))</f>
        <v>92.47667158549379</v>
      </c>
      <c r="B28" s="265">
        <v>28.646000000000001</v>
      </c>
      <c r="C28" s="266">
        <v>6.4051</v>
      </c>
      <c r="D28" s="267">
        <v>0.10822</v>
      </c>
      <c r="E28" s="265">
        <v>8.5</v>
      </c>
      <c r="F28" s="268" t="s">
        <v>287</v>
      </c>
      <c r="G28" s="269" t="s">
        <v>72</v>
      </c>
      <c r="H28" s="269">
        <v>4.5048999999999999E-2</v>
      </c>
      <c r="I28" s="270">
        <v>15</v>
      </c>
      <c r="J28" s="270">
        <v>7</v>
      </c>
      <c r="K28" s="270">
        <v>0.99734999999999996</v>
      </c>
      <c r="L28" s="270">
        <v>0.5</v>
      </c>
      <c r="M28" s="270"/>
      <c r="N28" s="270"/>
      <c r="O28" s="270"/>
      <c r="P28" s="270"/>
      <c r="Q28" s="270"/>
      <c r="R28" s="270"/>
      <c r="S28" s="271"/>
      <c r="T28" s="272"/>
      <c r="BS28" s="273" t="e">
        <f t="shared" si="5"/>
        <v>#VALUE!</v>
      </c>
      <c r="BT28" s="273" t="e">
        <f t="shared" si="6"/>
        <v>#VALUE!</v>
      </c>
      <c r="BU28" s="273" t="e">
        <f t="shared" si="7"/>
        <v>#VALUE!</v>
      </c>
    </row>
    <row r="29" spans="1:82" s="273" customFormat="1" ht="12.6" customHeight="1">
      <c r="A29" s="265">
        <f t="shared" si="8"/>
        <v>92.47667158549379</v>
      </c>
      <c r="B29" s="265">
        <v>28.646000000000001</v>
      </c>
      <c r="C29" s="266">
        <v>6.4051</v>
      </c>
      <c r="D29" s="267">
        <v>0.10822</v>
      </c>
      <c r="E29" s="265">
        <v>8.5</v>
      </c>
      <c r="F29" s="268" t="s">
        <v>287</v>
      </c>
      <c r="G29" s="269" t="s">
        <v>72</v>
      </c>
      <c r="H29" s="269">
        <v>4.5048999999999999E-2</v>
      </c>
      <c r="I29" s="270">
        <v>15</v>
      </c>
      <c r="J29" s="270">
        <v>7</v>
      </c>
      <c r="K29" s="270">
        <v>0.99734999999999996</v>
      </c>
      <c r="L29" s="270">
        <v>0.5</v>
      </c>
      <c r="M29" s="270"/>
      <c r="N29" s="270"/>
      <c r="O29" s="270"/>
      <c r="P29" s="270"/>
      <c r="Q29" s="270"/>
      <c r="R29" s="270"/>
      <c r="S29" s="271"/>
      <c r="T29" s="272"/>
      <c r="BS29" s="273" t="e">
        <f t="shared" si="5"/>
        <v>#VALUE!</v>
      </c>
      <c r="BT29" s="273" t="e">
        <f t="shared" si="6"/>
        <v>#VALUE!</v>
      </c>
      <c r="BU29" s="273" t="e">
        <f t="shared" si="7"/>
        <v>#VALUE!</v>
      </c>
    </row>
    <row r="30" spans="1:82" s="232" customFormat="1" ht="12.6" customHeight="1">
      <c r="A30" s="269">
        <f t="shared" si="8"/>
        <v>135.77003561181016</v>
      </c>
      <c r="B30" s="269">
        <v>42.055999999999997</v>
      </c>
      <c r="C30" s="266">
        <v>9.4034999999999993</v>
      </c>
      <c r="D30" s="269">
        <v>7.3710999999999999E-2</v>
      </c>
      <c r="E30" s="269">
        <v>8.5</v>
      </c>
      <c r="F30" s="268" t="s">
        <v>287</v>
      </c>
      <c r="G30" s="269" t="s">
        <v>72</v>
      </c>
      <c r="H30" s="269">
        <v>4.5048999999999999E-2</v>
      </c>
      <c r="I30" s="270">
        <v>10</v>
      </c>
      <c r="J30" s="270">
        <v>5.2</v>
      </c>
      <c r="K30" s="270">
        <v>0.98434999999999995</v>
      </c>
      <c r="L30" s="270">
        <v>2.8</v>
      </c>
      <c r="M30" s="270"/>
      <c r="N30" s="270"/>
      <c r="O30" s="270"/>
      <c r="P30" s="270"/>
      <c r="Q30" s="270"/>
      <c r="R30" s="270"/>
      <c r="S30" s="271"/>
      <c r="T30" s="272"/>
      <c r="BS30" s="232" t="e">
        <f t="shared" si="5"/>
        <v>#VALUE!</v>
      </c>
      <c r="BT30" s="232" t="e">
        <f t="shared" si="6"/>
        <v>#VALUE!</v>
      </c>
      <c r="BU30" s="232" t="e">
        <f t="shared" si="7"/>
        <v>#VALUE!</v>
      </c>
    </row>
    <row r="31" spans="1:82" s="225" customFormat="1" ht="12.6" customHeight="1">
      <c r="A31" s="269">
        <f t="shared" si="8"/>
        <v>135.77003561181016</v>
      </c>
      <c r="B31" s="269">
        <v>42.055999999999997</v>
      </c>
      <c r="C31" s="266">
        <v>9.4034999999999993</v>
      </c>
      <c r="D31" s="269">
        <v>7.3710999999999999E-2</v>
      </c>
      <c r="E31" s="269">
        <v>8.5</v>
      </c>
      <c r="F31" s="268" t="s">
        <v>287</v>
      </c>
      <c r="G31" s="269" t="s">
        <v>72</v>
      </c>
      <c r="H31" s="269">
        <v>4.5048999999999999E-2</v>
      </c>
      <c r="I31" s="270">
        <v>10</v>
      </c>
      <c r="J31" s="270">
        <v>5.3</v>
      </c>
      <c r="K31" s="270">
        <v>0.98670000000000002</v>
      </c>
      <c r="L31" s="270">
        <v>2.4</v>
      </c>
      <c r="M31" s="270"/>
      <c r="N31" s="270"/>
      <c r="O31" s="270"/>
      <c r="P31" s="270"/>
      <c r="Q31" s="270"/>
      <c r="R31" s="270"/>
      <c r="S31" s="271"/>
      <c r="T31" s="272"/>
      <c r="BS31" s="225" t="e">
        <f t="shared" si="5"/>
        <v>#VALUE!</v>
      </c>
      <c r="BT31" s="225" t="e">
        <f t="shared" si="6"/>
        <v>#VALUE!</v>
      </c>
      <c r="BU31" s="225" t="e">
        <f t="shared" si="7"/>
        <v>#VALUE!</v>
      </c>
    </row>
    <row r="32" spans="1:82" s="225" customFormat="1" ht="12.6" customHeight="1">
      <c r="A32" s="269">
        <f t="shared" si="8"/>
        <v>135.77003561181016</v>
      </c>
      <c r="B32" s="269">
        <v>42.055999999999997</v>
      </c>
      <c r="C32" s="266">
        <v>9.4034999999999993</v>
      </c>
      <c r="D32" s="269">
        <v>7.3710999999999999E-2</v>
      </c>
      <c r="E32" s="269">
        <v>8.5</v>
      </c>
      <c r="F32" s="268" t="s">
        <v>287</v>
      </c>
      <c r="G32" s="269" t="s">
        <v>72</v>
      </c>
      <c r="H32" s="269">
        <v>4.5048999999999999E-2</v>
      </c>
      <c r="I32" s="270">
        <v>10</v>
      </c>
      <c r="J32" s="270">
        <v>5</v>
      </c>
      <c r="K32" s="270">
        <v>0.98434999999999995</v>
      </c>
      <c r="L32" s="270">
        <v>2.8</v>
      </c>
      <c r="M32" s="270"/>
      <c r="N32" s="270"/>
      <c r="O32" s="270"/>
      <c r="P32" s="270"/>
      <c r="Q32" s="270"/>
      <c r="R32" s="270"/>
      <c r="S32" s="271"/>
      <c r="T32" s="272"/>
      <c r="BS32" s="225" t="e">
        <f t="shared" si="5"/>
        <v>#VALUE!</v>
      </c>
      <c r="BT32" s="225" t="e">
        <f t="shared" si="6"/>
        <v>#VALUE!</v>
      </c>
      <c r="BU32" s="225" t="e">
        <f t="shared" si="7"/>
        <v>#VALUE!</v>
      </c>
    </row>
    <row r="33" spans="1:73" s="225" customFormat="1" ht="12.6" customHeight="1">
      <c r="A33" s="269">
        <f t="shared" si="8"/>
        <v>92.47667158549379</v>
      </c>
      <c r="B33" s="269">
        <v>28.646000000000001</v>
      </c>
      <c r="C33" s="266">
        <v>6.4051</v>
      </c>
      <c r="D33" s="269">
        <v>0.10822</v>
      </c>
      <c r="E33" s="269">
        <v>8.5</v>
      </c>
      <c r="F33" s="268" t="s">
        <v>287</v>
      </c>
      <c r="G33" s="269" t="s">
        <v>72</v>
      </c>
      <c r="H33" s="269">
        <v>4.5048999999999999E-2</v>
      </c>
      <c r="I33" s="270">
        <v>15</v>
      </c>
      <c r="J33" s="270">
        <v>5.2</v>
      </c>
      <c r="K33" s="270">
        <v>0.98434999999999995</v>
      </c>
      <c r="L33" s="274">
        <v>2.8</v>
      </c>
      <c r="M33" s="270"/>
      <c r="N33" s="270"/>
      <c r="O33" s="270"/>
      <c r="P33" s="270"/>
      <c r="Q33" s="270"/>
      <c r="R33" s="270"/>
      <c r="S33" s="271"/>
      <c r="T33" s="272"/>
      <c r="BS33" s="225" t="e">
        <f t="shared" si="5"/>
        <v>#VALUE!</v>
      </c>
      <c r="BT33" s="225" t="e">
        <f t="shared" si="6"/>
        <v>#VALUE!</v>
      </c>
      <c r="BU33" s="225" t="e">
        <f t="shared" si="7"/>
        <v>#VALUE!</v>
      </c>
    </row>
    <row r="34" spans="1:73" s="225" customFormat="1" ht="12.6" customHeight="1">
      <c r="A34" s="269">
        <f t="shared" si="8"/>
        <v>92.47667158549379</v>
      </c>
      <c r="B34" s="269">
        <v>28.646000000000001</v>
      </c>
      <c r="C34" s="266">
        <v>6.4051</v>
      </c>
      <c r="D34" s="269">
        <v>0.10822</v>
      </c>
      <c r="E34" s="269">
        <v>8.5</v>
      </c>
      <c r="F34" s="268" t="s">
        <v>287</v>
      </c>
      <c r="G34" s="269" t="s">
        <v>72</v>
      </c>
      <c r="H34" s="269">
        <v>4.5048999999999999E-2</v>
      </c>
      <c r="I34" s="270">
        <v>15</v>
      </c>
      <c r="J34" s="270">
        <v>5.3</v>
      </c>
      <c r="K34" s="270">
        <v>0.98670000000000002</v>
      </c>
      <c r="L34" s="274">
        <v>2.4</v>
      </c>
      <c r="M34" s="270"/>
      <c r="N34" s="270"/>
      <c r="O34" s="270"/>
      <c r="P34" s="270"/>
      <c r="Q34" s="270"/>
      <c r="R34" s="270"/>
      <c r="S34" s="271"/>
      <c r="T34" s="272"/>
      <c r="BS34" s="225" t="e">
        <f t="shared" si="5"/>
        <v>#VALUE!</v>
      </c>
      <c r="BT34" s="225" t="e">
        <f t="shared" si="6"/>
        <v>#VALUE!</v>
      </c>
      <c r="BU34" s="225" t="e">
        <f t="shared" si="7"/>
        <v>#VALUE!</v>
      </c>
    </row>
    <row r="35" spans="1:73" s="225" customFormat="1" ht="12.6" customHeight="1">
      <c r="A35" s="269">
        <f t="shared" si="8"/>
        <v>135.77003561181016</v>
      </c>
      <c r="B35" s="269">
        <v>42.055999999999997</v>
      </c>
      <c r="C35" s="266">
        <v>9.4034999999999993</v>
      </c>
      <c r="D35" s="269">
        <v>7.3710999999999999E-2</v>
      </c>
      <c r="E35" s="269">
        <v>8.5</v>
      </c>
      <c r="F35" s="268" t="s">
        <v>287</v>
      </c>
      <c r="G35" s="269" t="s">
        <v>72</v>
      </c>
      <c r="H35" s="269">
        <v>4.5048999999999999E-2</v>
      </c>
      <c r="I35" s="270">
        <v>10</v>
      </c>
      <c r="J35" s="270">
        <v>5.2</v>
      </c>
      <c r="K35" s="270">
        <v>0.98434999999999995</v>
      </c>
      <c r="L35" s="274">
        <v>2.8</v>
      </c>
      <c r="M35" s="270"/>
      <c r="N35" s="270"/>
      <c r="O35" s="270"/>
      <c r="P35" s="270"/>
      <c r="Q35" s="270"/>
      <c r="R35" s="270"/>
      <c r="S35" s="271"/>
      <c r="T35" s="272"/>
      <c r="BS35" s="225" t="e">
        <f t="shared" si="5"/>
        <v>#VALUE!</v>
      </c>
      <c r="BT35" s="225" t="e">
        <f t="shared" si="6"/>
        <v>#VALUE!</v>
      </c>
      <c r="BU35" s="225" t="e">
        <f t="shared" si="7"/>
        <v>#VALUE!</v>
      </c>
    </row>
    <row r="36" spans="1:73" s="225" customFormat="1" ht="12.6" customHeight="1">
      <c r="A36" s="269">
        <f t="shared" si="8"/>
        <v>135.77003561181016</v>
      </c>
      <c r="B36" s="269">
        <v>42.055999999999997</v>
      </c>
      <c r="C36" s="266">
        <v>9.4034999999999993</v>
      </c>
      <c r="D36" s="269">
        <v>7.3710999999999999E-2</v>
      </c>
      <c r="E36" s="269">
        <v>8.5</v>
      </c>
      <c r="F36" s="268" t="s">
        <v>287</v>
      </c>
      <c r="G36" s="269" t="s">
        <v>72</v>
      </c>
      <c r="H36" s="269">
        <v>4.5048999999999999E-2</v>
      </c>
      <c r="I36" s="270">
        <v>10</v>
      </c>
      <c r="J36" s="270">
        <v>5.3</v>
      </c>
      <c r="K36" s="270">
        <v>0.98670000000000002</v>
      </c>
      <c r="L36" s="274">
        <v>2.4</v>
      </c>
      <c r="M36" s="270"/>
      <c r="N36" s="270"/>
      <c r="O36" s="270"/>
      <c r="P36" s="270"/>
      <c r="Q36" s="270"/>
      <c r="R36" s="270"/>
      <c r="S36" s="271"/>
      <c r="T36" s="272"/>
      <c r="BS36" s="225" t="e">
        <f t="shared" si="5"/>
        <v>#VALUE!</v>
      </c>
      <c r="BT36" s="225" t="e">
        <f t="shared" si="6"/>
        <v>#VALUE!</v>
      </c>
      <c r="BU36" s="225" t="e">
        <f t="shared" si="7"/>
        <v>#VALUE!</v>
      </c>
    </row>
    <row r="37" spans="1:73" s="217" customFormat="1" ht="12.6" customHeight="1">
      <c r="C37" s="219"/>
      <c r="F37" s="216"/>
      <c r="I37" s="221"/>
      <c r="J37" s="221"/>
      <c r="K37" s="222"/>
      <c r="L37" s="222"/>
      <c r="M37" s="222"/>
      <c r="N37" s="222"/>
      <c r="O37" s="222"/>
      <c r="P37" s="222"/>
      <c r="Q37" s="222"/>
      <c r="R37" s="222"/>
      <c r="S37" s="223"/>
      <c r="T37" s="224"/>
    </row>
    <row r="38" spans="1:73" s="225" customFormat="1" ht="12.6" customHeight="1">
      <c r="A38" s="217"/>
      <c r="B38" s="217"/>
      <c r="C38" s="219"/>
      <c r="D38" s="217"/>
      <c r="E38" s="217"/>
      <c r="F38" s="216"/>
      <c r="G38" s="217"/>
      <c r="H38" s="217"/>
      <c r="I38" s="221"/>
      <c r="J38" s="221"/>
      <c r="K38" s="222"/>
      <c r="L38" s="221"/>
      <c r="M38" s="222"/>
      <c r="N38" s="222"/>
      <c r="O38" s="222"/>
      <c r="P38" s="222"/>
      <c r="Q38" s="222"/>
      <c r="R38" s="222"/>
      <c r="S38" s="223"/>
      <c r="T38" s="224"/>
    </row>
    <row r="39" spans="1:73" s="217" customFormat="1" ht="12.6" customHeight="1">
      <c r="C39" s="219"/>
      <c r="F39" s="216"/>
      <c r="I39" s="221"/>
      <c r="J39" s="221"/>
      <c r="K39" s="222"/>
      <c r="L39" s="222"/>
      <c r="M39" s="222"/>
      <c r="N39" s="222"/>
      <c r="O39" s="222"/>
      <c r="P39" s="222"/>
      <c r="Q39" s="222"/>
      <c r="R39" s="222"/>
      <c r="S39" s="223"/>
      <c r="T39" s="224"/>
    </row>
    <row r="40" spans="1:73" s="217" customFormat="1" ht="12.6" customHeight="1">
      <c r="C40" s="219"/>
      <c r="F40" s="216"/>
      <c r="I40" s="222"/>
      <c r="J40" s="222"/>
      <c r="K40" s="222"/>
      <c r="L40" s="222"/>
      <c r="M40" s="222"/>
      <c r="N40" s="222"/>
      <c r="O40" s="222"/>
      <c r="P40" s="222"/>
      <c r="Q40" s="222"/>
      <c r="R40" s="222"/>
      <c r="S40" s="223"/>
      <c r="T40" s="224"/>
    </row>
    <row r="41" spans="1:73" s="217" customFormat="1" ht="12.6" customHeight="1">
      <c r="C41" s="219"/>
      <c r="F41" s="216"/>
      <c r="I41" s="222"/>
      <c r="J41" s="222"/>
      <c r="K41" s="222"/>
      <c r="L41" s="222"/>
      <c r="M41" s="222"/>
      <c r="N41" s="222"/>
      <c r="O41" s="222"/>
      <c r="P41" s="222"/>
      <c r="Q41" s="222"/>
      <c r="R41" s="222"/>
      <c r="S41" s="223"/>
      <c r="T41" s="224"/>
    </row>
    <row r="42" spans="1:73" s="217" customFormat="1" ht="12.6" customHeight="1">
      <c r="B42" s="218"/>
      <c r="C42" s="219"/>
      <c r="D42" s="220"/>
      <c r="E42" s="218"/>
      <c r="F42" s="216"/>
      <c r="G42" s="218"/>
      <c r="I42" s="222"/>
      <c r="J42" s="222"/>
      <c r="K42" s="222"/>
      <c r="L42" s="222"/>
      <c r="M42" s="222"/>
      <c r="N42" s="222"/>
      <c r="O42" s="222"/>
      <c r="P42" s="222"/>
      <c r="Q42" s="222"/>
      <c r="R42" s="222"/>
      <c r="S42" s="223"/>
      <c r="T42" s="224"/>
    </row>
    <row r="43" spans="1:73" s="217" customFormat="1" ht="12.6" customHeight="1">
      <c r="C43" s="219"/>
      <c r="F43" s="216"/>
      <c r="I43" s="222"/>
      <c r="J43" s="222"/>
      <c r="K43" s="222"/>
      <c r="L43" s="222"/>
      <c r="M43" s="222"/>
      <c r="N43" s="222"/>
      <c r="O43" s="222"/>
      <c r="P43" s="222"/>
      <c r="Q43" s="222"/>
      <c r="R43" s="222"/>
      <c r="S43" s="223"/>
      <c r="T43" s="224"/>
    </row>
    <row r="44" spans="1:73" s="217" customFormat="1" ht="12.6" customHeight="1">
      <c r="C44" s="219"/>
      <c r="F44" s="216"/>
      <c r="I44" s="222"/>
      <c r="J44" s="222"/>
      <c r="K44" s="222"/>
      <c r="L44" s="222"/>
      <c r="M44" s="222"/>
      <c r="N44" s="222"/>
      <c r="O44" s="222"/>
      <c r="P44" s="222"/>
      <c r="Q44" s="222"/>
      <c r="R44" s="222"/>
      <c r="S44" s="223"/>
      <c r="T44" s="224"/>
    </row>
    <row r="45" spans="1:73" s="217" customFormat="1" ht="12.6" customHeight="1">
      <c r="C45" s="219"/>
      <c r="F45" s="216"/>
      <c r="I45" s="222"/>
      <c r="J45" s="222"/>
      <c r="K45" s="222"/>
      <c r="L45" s="222"/>
      <c r="M45" s="222"/>
      <c r="N45" s="222"/>
      <c r="O45" s="222"/>
      <c r="P45" s="222"/>
      <c r="Q45" s="222"/>
      <c r="R45" s="222"/>
      <c r="S45" s="223"/>
      <c r="T45" s="224"/>
    </row>
    <row r="46" spans="1:73" s="217" customFormat="1" ht="12.6" customHeight="1">
      <c r="C46" s="219"/>
      <c r="F46" s="216"/>
      <c r="I46" s="222"/>
      <c r="J46" s="222"/>
      <c r="K46" s="222"/>
      <c r="L46" s="222"/>
      <c r="M46" s="222"/>
      <c r="N46" s="222"/>
      <c r="O46" s="222"/>
      <c r="P46" s="222"/>
      <c r="Q46" s="222"/>
      <c r="R46" s="222"/>
      <c r="S46" s="223"/>
      <c r="T46" s="224"/>
    </row>
    <row r="47" spans="1:73" s="217" customFormat="1" ht="12.6" customHeight="1">
      <c r="C47" s="219"/>
      <c r="F47" s="216"/>
      <c r="I47" s="222"/>
      <c r="J47" s="222"/>
      <c r="K47" s="222"/>
      <c r="L47" s="222"/>
      <c r="M47" s="222"/>
      <c r="N47" s="222"/>
      <c r="O47" s="222"/>
      <c r="P47" s="222"/>
      <c r="Q47" s="222"/>
      <c r="R47" s="222"/>
      <c r="S47" s="223"/>
      <c r="T47" s="224"/>
    </row>
    <row r="48" spans="1:73" s="217" customFormat="1" ht="12.6" customHeight="1">
      <c r="A48" s="226"/>
      <c r="C48" s="219"/>
      <c r="F48" s="216"/>
      <c r="I48" s="222"/>
      <c r="J48" s="222"/>
      <c r="K48" s="222"/>
      <c r="L48" s="222"/>
      <c r="M48" s="222"/>
      <c r="N48" s="222"/>
      <c r="O48" s="222"/>
      <c r="P48" s="222"/>
      <c r="Q48" s="222"/>
      <c r="R48" s="222"/>
      <c r="S48" s="223"/>
      <c r="T48" s="224"/>
    </row>
    <row r="49" spans="1:20" s="227" customFormat="1" ht="12.6" customHeight="1">
      <c r="A49" s="226"/>
      <c r="B49" s="217"/>
      <c r="C49" s="219"/>
      <c r="D49" s="217"/>
      <c r="E49" s="217"/>
      <c r="F49" s="216"/>
      <c r="G49" s="217"/>
      <c r="H49" s="217"/>
      <c r="I49" s="222"/>
      <c r="J49" s="222"/>
      <c r="K49" s="222"/>
      <c r="L49" s="222"/>
      <c r="M49" s="222"/>
      <c r="N49" s="222"/>
      <c r="O49" s="222"/>
      <c r="P49" s="222"/>
      <c r="Q49" s="222"/>
      <c r="R49" s="222"/>
      <c r="S49" s="223"/>
      <c r="T49" s="224"/>
    </row>
    <row r="50" spans="1:20" s="217" customFormat="1" ht="12.6" customHeight="1">
      <c r="A50" s="226"/>
      <c r="C50" s="219"/>
      <c r="F50" s="216"/>
      <c r="I50" s="222"/>
      <c r="J50" s="222"/>
      <c r="K50" s="222"/>
      <c r="L50" s="222"/>
      <c r="M50" s="222"/>
      <c r="N50" s="222"/>
      <c r="O50" s="222"/>
      <c r="P50" s="222"/>
      <c r="Q50" s="222"/>
      <c r="R50" s="222"/>
      <c r="S50" s="223"/>
      <c r="T50" s="224"/>
    </row>
    <row r="51" spans="1:20" s="217" customFormat="1" ht="12.6" customHeight="1">
      <c r="A51" s="228"/>
      <c r="B51" s="218"/>
      <c r="C51" s="219"/>
      <c r="D51" s="220"/>
      <c r="E51" s="218"/>
      <c r="F51" s="216"/>
      <c r="G51" s="218"/>
      <c r="I51" s="222"/>
      <c r="J51" s="222"/>
      <c r="K51" s="222"/>
      <c r="L51" s="222"/>
      <c r="M51" s="222"/>
      <c r="N51" s="222"/>
      <c r="O51" s="222"/>
      <c r="P51" s="222"/>
      <c r="Q51" s="222"/>
      <c r="R51" s="222"/>
      <c r="S51" s="223"/>
      <c r="T51" s="224"/>
    </row>
    <row r="52" spans="1:20" s="217" customFormat="1" ht="12.6" customHeight="1">
      <c r="A52" s="226"/>
      <c r="C52" s="219"/>
      <c r="F52" s="216"/>
      <c r="I52" s="222"/>
      <c r="J52" s="222"/>
      <c r="K52" s="222"/>
      <c r="L52" s="222"/>
      <c r="M52" s="222"/>
      <c r="N52" s="222"/>
      <c r="O52" s="222"/>
      <c r="P52" s="222"/>
      <c r="Q52" s="222"/>
      <c r="R52" s="222"/>
      <c r="S52" s="223"/>
      <c r="T52" s="224"/>
    </row>
    <row r="53" spans="1:20" s="217" customFormat="1" ht="12.6" customHeight="1">
      <c r="A53" s="226"/>
      <c r="C53" s="219"/>
      <c r="F53" s="216"/>
      <c r="I53" s="222"/>
      <c r="J53" s="222"/>
      <c r="K53" s="222"/>
      <c r="L53" s="222"/>
      <c r="M53" s="222"/>
      <c r="N53" s="222"/>
      <c r="O53" s="222"/>
      <c r="P53" s="222"/>
      <c r="Q53" s="222"/>
      <c r="R53" s="222"/>
      <c r="S53" s="223"/>
      <c r="T53" s="224"/>
    </row>
    <row r="54" spans="1:20" s="217" customFormat="1" ht="12.6" customHeight="1">
      <c r="A54" s="226"/>
      <c r="C54" s="219"/>
      <c r="F54" s="216"/>
      <c r="I54" s="222"/>
      <c r="J54" s="222"/>
      <c r="K54" s="222"/>
      <c r="L54" s="222"/>
      <c r="M54" s="222"/>
      <c r="N54" s="222"/>
      <c r="O54" s="222"/>
      <c r="P54" s="222"/>
      <c r="Q54" s="222"/>
      <c r="R54" s="222"/>
      <c r="S54" s="223"/>
      <c r="T54" s="224"/>
    </row>
    <row r="55" spans="1:20" s="217" customFormat="1" ht="12.6" customHeight="1">
      <c r="A55" s="226"/>
      <c r="C55" s="219"/>
      <c r="F55" s="216"/>
      <c r="I55" s="222"/>
      <c r="J55" s="222"/>
      <c r="K55" s="222"/>
      <c r="L55" s="222"/>
      <c r="M55" s="222"/>
      <c r="N55" s="222"/>
      <c r="O55" s="222"/>
      <c r="P55" s="222"/>
      <c r="Q55" s="222"/>
      <c r="R55" s="222"/>
      <c r="S55" s="223"/>
      <c r="T55" s="224"/>
    </row>
    <row r="56" spans="1:20" s="217" customFormat="1" ht="12.6" customHeight="1">
      <c r="A56" s="226"/>
      <c r="C56" s="219"/>
      <c r="F56" s="216"/>
      <c r="I56" s="222"/>
      <c r="J56" s="222"/>
      <c r="K56" s="222"/>
      <c r="L56" s="222"/>
      <c r="M56" s="222"/>
      <c r="N56" s="222"/>
      <c r="O56" s="222"/>
      <c r="P56" s="222"/>
      <c r="Q56" s="222"/>
      <c r="R56" s="222"/>
      <c r="S56" s="223"/>
      <c r="T56" s="224"/>
    </row>
    <row r="57" spans="1:20" s="227" customFormat="1" ht="12.6" customHeight="1">
      <c r="A57" s="226"/>
      <c r="B57" s="217"/>
      <c r="C57" s="219"/>
      <c r="D57" s="217"/>
      <c r="E57" s="217"/>
      <c r="F57" s="216"/>
      <c r="G57" s="217"/>
      <c r="H57" s="217"/>
      <c r="I57" s="222"/>
      <c r="J57" s="222"/>
      <c r="K57" s="222"/>
      <c r="L57" s="222"/>
      <c r="M57" s="222"/>
      <c r="N57" s="222"/>
      <c r="O57" s="222"/>
      <c r="P57" s="222"/>
      <c r="Q57" s="222"/>
      <c r="R57" s="222"/>
      <c r="S57" s="223"/>
      <c r="T57" s="224"/>
    </row>
    <row r="58" spans="1:20" s="217" customFormat="1" ht="12.6" customHeight="1">
      <c r="A58" s="226"/>
      <c r="C58" s="219"/>
      <c r="F58" s="216"/>
      <c r="I58" s="222"/>
      <c r="J58" s="222"/>
      <c r="K58" s="222"/>
      <c r="L58" s="222"/>
      <c r="M58" s="222"/>
      <c r="N58" s="222"/>
      <c r="O58" s="222"/>
      <c r="P58" s="222"/>
      <c r="Q58" s="222"/>
      <c r="R58" s="222"/>
      <c r="S58" s="223"/>
      <c r="T58" s="224"/>
    </row>
    <row r="59" spans="1:20" s="217" customFormat="1" ht="12.6" customHeight="1">
      <c r="A59" s="226"/>
      <c r="C59" s="219"/>
      <c r="F59" s="216"/>
      <c r="I59" s="222"/>
      <c r="J59" s="222"/>
      <c r="K59" s="222"/>
      <c r="L59" s="222"/>
      <c r="M59" s="222"/>
      <c r="N59" s="222"/>
      <c r="O59" s="222"/>
      <c r="P59" s="222"/>
      <c r="Q59" s="222"/>
      <c r="R59" s="222"/>
      <c r="S59" s="223"/>
      <c r="T59" s="224"/>
    </row>
    <row r="60" spans="1:20" s="217" customFormat="1" ht="12.6" customHeight="1">
      <c r="A60" s="226"/>
      <c r="B60" s="218"/>
      <c r="C60" s="219"/>
      <c r="D60" s="220"/>
      <c r="E60" s="218"/>
      <c r="F60" s="216"/>
      <c r="G60" s="218"/>
      <c r="I60" s="222"/>
      <c r="J60" s="222"/>
      <c r="K60" s="222"/>
      <c r="L60" s="222"/>
      <c r="M60" s="222"/>
      <c r="N60" s="222"/>
      <c r="O60" s="222"/>
      <c r="P60" s="222"/>
      <c r="Q60" s="222"/>
      <c r="R60" s="222"/>
      <c r="S60" s="223"/>
      <c r="T60" s="224"/>
    </row>
    <row r="61" spans="1:20" s="217" customFormat="1" ht="12.6" customHeight="1">
      <c r="A61" s="226"/>
      <c r="C61" s="219"/>
      <c r="F61" s="216"/>
      <c r="I61" s="222"/>
      <c r="J61" s="222"/>
      <c r="K61" s="222"/>
      <c r="L61" s="222"/>
      <c r="M61" s="222"/>
      <c r="N61" s="222"/>
      <c r="O61" s="222"/>
      <c r="P61" s="222"/>
      <c r="Q61" s="222"/>
      <c r="R61" s="222"/>
      <c r="S61" s="223"/>
      <c r="T61" s="224"/>
    </row>
    <row r="62" spans="1:20" s="136" customFormat="1" ht="12.6" customHeight="1">
      <c r="D62" s="229"/>
      <c r="E62" s="230"/>
      <c r="I62" s="119"/>
      <c r="J62" s="119"/>
      <c r="K62" s="119"/>
      <c r="L62" s="119"/>
      <c r="M62" s="119"/>
      <c r="N62" s="231"/>
      <c r="O62" s="119"/>
      <c r="P62" s="119"/>
      <c r="Q62" s="119"/>
      <c r="R62" s="119"/>
      <c r="S62" s="119"/>
      <c r="T62" s="119"/>
    </row>
    <row r="63" spans="1:20" s="136" customFormat="1" ht="12.6" customHeight="1">
      <c r="D63" s="229"/>
      <c r="E63" s="230"/>
      <c r="I63" s="119"/>
      <c r="J63" s="119"/>
      <c r="K63" s="119"/>
      <c r="L63" s="119"/>
      <c r="M63" s="119"/>
      <c r="N63" s="231"/>
      <c r="O63" s="119"/>
      <c r="P63" s="119"/>
      <c r="Q63" s="119"/>
      <c r="R63" s="119"/>
      <c r="S63" s="119"/>
      <c r="T63" s="119"/>
    </row>
    <row r="64" spans="1:20" s="136" customFormat="1" ht="12.6" customHeight="1">
      <c r="D64" s="229"/>
      <c r="E64" s="230"/>
      <c r="I64" s="119"/>
      <c r="J64" s="119"/>
      <c r="K64" s="119"/>
      <c r="L64" s="119"/>
      <c r="M64" s="119"/>
      <c r="N64" s="231"/>
      <c r="O64" s="119"/>
      <c r="P64" s="119"/>
      <c r="Q64" s="119"/>
      <c r="R64" s="119"/>
      <c r="S64" s="119"/>
      <c r="T64" s="119"/>
    </row>
    <row r="65" spans="4:20" s="136" customFormat="1" ht="12.6" customHeight="1">
      <c r="D65" s="229"/>
      <c r="E65" s="230"/>
      <c r="I65" s="119"/>
      <c r="J65" s="119"/>
      <c r="K65" s="119"/>
      <c r="L65" s="119"/>
      <c r="M65" s="119"/>
      <c r="N65" s="231"/>
      <c r="O65" s="119"/>
      <c r="P65" s="119"/>
      <c r="Q65" s="119"/>
      <c r="R65" s="119"/>
      <c r="S65" s="119"/>
      <c r="T65" s="119"/>
    </row>
    <row r="66" spans="4:20" s="136" customFormat="1" ht="12.6" customHeight="1">
      <c r="D66" s="229"/>
      <c r="E66" s="230"/>
      <c r="I66" s="119"/>
      <c r="J66" s="119"/>
      <c r="K66" s="119"/>
      <c r="L66" s="119"/>
      <c r="M66" s="119"/>
      <c r="N66" s="231"/>
      <c r="O66" s="119"/>
      <c r="P66" s="119"/>
      <c r="Q66" s="119"/>
      <c r="R66" s="119"/>
      <c r="S66" s="119"/>
      <c r="T66" s="119"/>
    </row>
    <row r="67" spans="4:20" s="136" customFormat="1" ht="12.6" customHeight="1">
      <c r="D67" s="229"/>
      <c r="E67" s="230"/>
      <c r="I67" s="119"/>
      <c r="J67" s="119"/>
      <c r="K67" s="119"/>
      <c r="L67" s="119"/>
      <c r="M67" s="119"/>
      <c r="N67" s="231"/>
      <c r="O67" s="119"/>
      <c r="P67" s="119"/>
      <c r="Q67" s="119"/>
      <c r="R67" s="119"/>
      <c r="S67" s="119"/>
      <c r="T67" s="119"/>
    </row>
    <row r="68" spans="4:20" s="136" customFormat="1" ht="12.6" customHeight="1">
      <c r="D68" s="229"/>
      <c r="E68" s="230"/>
      <c r="I68" s="119"/>
      <c r="J68" s="119"/>
      <c r="K68" s="119"/>
      <c r="L68" s="119"/>
      <c r="M68" s="119"/>
      <c r="N68" s="231"/>
      <c r="O68" s="119"/>
      <c r="P68" s="119"/>
      <c r="Q68" s="119"/>
      <c r="R68" s="119"/>
      <c r="S68" s="119"/>
      <c r="T68" s="119"/>
    </row>
    <row r="69" spans="4:20" s="136" customFormat="1" ht="12.6" customHeight="1">
      <c r="D69" s="229"/>
      <c r="E69" s="230"/>
      <c r="I69" s="119"/>
      <c r="J69" s="119"/>
      <c r="K69" s="119"/>
      <c r="L69" s="119"/>
      <c r="M69" s="119"/>
      <c r="N69" s="231"/>
      <c r="O69" s="119"/>
      <c r="P69" s="119"/>
      <c r="Q69" s="119"/>
      <c r="R69" s="119"/>
      <c r="S69" s="119"/>
      <c r="T69" s="119"/>
    </row>
    <row r="70" spans="4:20" ht="12.6" customHeight="1">
      <c r="I70" s="120"/>
      <c r="J70" s="120"/>
      <c r="K70" s="120"/>
      <c r="L70" s="120"/>
      <c r="M70" s="120"/>
      <c r="N70" s="116"/>
      <c r="O70" s="120"/>
      <c r="P70" s="120"/>
      <c r="Q70" s="120"/>
      <c r="R70" s="120"/>
      <c r="S70" s="120"/>
      <c r="T70" s="120"/>
    </row>
    <row r="71" spans="4:20" ht="12.6" customHeight="1">
      <c r="I71" s="120"/>
      <c r="J71" s="120"/>
      <c r="K71" s="120"/>
      <c r="L71" s="120"/>
      <c r="M71" s="120"/>
      <c r="N71" s="116"/>
      <c r="O71" s="120"/>
      <c r="P71" s="120"/>
      <c r="Q71" s="120"/>
      <c r="R71" s="120"/>
      <c r="S71" s="120"/>
      <c r="T71" s="120"/>
    </row>
    <row r="72" spans="4:20" ht="12.6" customHeight="1">
      <c r="I72" s="120"/>
      <c r="J72" s="120"/>
      <c r="K72" s="120"/>
      <c r="L72" s="120"/>
      <c r="M72" s="120"/>
      <c r="N72" s="116"/>
      <c r="O72" s="120"/>
      <c r="P72" s="120"/>
      <c r="Q72" s="120"/>
      <c r="R72" s="120"/>
      <c r="S72" s="120"/>
      <c r="T72" s="120"/>
    </row>
    <row r="73" spans="4:20" ht="12.6" customHeight="1">
      <c r="I73" s="120"/>
      <c r="J73" s="120"/>
      <c r="K73" s="120"/>
      <c r="L73" s="120"/>
      <c r="M73" s="120"/>
      <c r="N73" s="116"/>
      <c r="O73" s="120"/>
      <c r="P73" s="120"/>
      <c r="Q73" s="120"/>
      <c r="R73" s="120"/>
      <c r="S73" s="120"/>
      <c r="T73" s="120"/>
    </row>
    <row r="74" spans="4:20" ht="12.6" customHeight="1">
      <c r="I74" s="120"/>
      <c r="J74" s="120"/>
      <c r="K74" s="120"/>
      <c r="L74" s="120"/>
      <c r="M74" s="120"/>
      <c r="N74" s="116"/>
      <c r="O74" s="120"/>
      <c r="P74" s="120"/>
      <c r="Q74" s="120"/>
      <c r="R74" s="120"/>
      <c r="S74" s="120"/>
      <c r="T74" s="120"/>
    </row>
  </sheetData>
  <phoneticPr fontId="0" type="noConversion"/>
  <printOptions gridLinesSet="0"/>
  <pageMargins left="0.75" right="0.55000000000000004" top="1" bottom="3.49" header="0.5" footer="0.5"/>
  <pageSetup paperSize="9" orientation="portrait" horizont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01" r:id="rId4" name="Button 29">
              <controlPr defaultSize="0" print="0" autoFill="0" autoLine="0" autoPict="0" macro="[0]!updateCurves">
                <anchor moveWithCells="1" sizeWithCells="1">
                  <from>
                    <xdr:col>3</xdr:col>
                    <xdr:colOff>514350</xdr:colOff>
                    <xdr:row>5</xdr:row>
                    <xdr:rowOff>114300</xdr:rowOff>
                  </from>
                  <to>
                    <xdr:col>6</xdr:col>
                    <xdr:colOff>0</xdr:colOff>
                    <xdr:row>9</xdr:row>
                    <xdr:rowOff>19050</xdr:rowOff>
                  </to>
                </anchor>
              </controlPr>
            </control>
          </mc:Choice>
        </mc:AlternateContent>
        <mc:AlternateContent xmlns:mc="http://schemas.openxmlformats.org/markup-compatibility/2006">
          <mc:Choice Requires="x14">
            <control shapeId="3107" r:id="rId5" name="Spinner 35">
              <controlPr defaultSize="0" autoFill="0" autoLine="0" autoPict="0">
                <anchor moveWithCells="1">
                  <from>
                    <xdr:col>5</xdr:col>
                    <xdr:colOff>333375</xdr:colOff>
                    <xdr:row>9</xdr:row>
                    <xdr:rowOff>57150</xdr:rowOff>
                  </from>
                  <to>
                    <xdr:col>6</xdr:col>
                    <xdr:colOff>0</xdr:colOff>
                    <xdr:row>11</xdr:row>
                    <xdr:rowOff>57150</xdr:rowOff>
                  </to>
                </anchor>
              </controlPr>
            </control>
          </mc:Choice>
        </mc:AlternateContent>
        <mc:AlternateContent xmlns:mc="http://schemas.openxmlformats.org/markup-compatibility/2006">
          <mc:Choice Requires="x14">
            <control shapeId="3152" r:id="rId6" name="Spinner 80">
              <controlPr defaultSize="0" autoFill="0" autoLine="0" autoPict="0">
                <anchor moveWithCells="1">
                  <from>
                    <xdr:col>22</xdr:col>
                    <xdr:colOff>0</xdr:colOff>
                    <xdr:row>8</xdr:row>
                    <xdr:rowOff>95250</xdr:rowOff>
                  </from>
                  <to>
                    <xdr:col>22</xdr:col>
                    <xdr:colOff>171450</xdr:colOff>
                    <xdr:row>10</xdr:row>
                    <xdr:rowOff>38100</xdr:rowOff>
                  </to>
                </anchor>
              </controlPr>
            </control>
          </mc:Choice>
        </mc:AlternateContent>
        <mc:AlternateContent xmlns:mc="http://schemas.openxmlformats.org/markup-compatibility/2006">
          <mc:Choice Requires="x14">
            <control shapeId="3153" r:id="rId7" name="Spinner 81">
              <controlPr defaultSize="0" autoFill="0" autoLine="0" autoPict="0">
                <anchor moveWithCells="1">
                  <from>
                    <xdr:col>22</xdr:col>
                    <xdr:colOff>9525</xdr:colOff>
                    <xdr:row>4</xdr:row>
                    <xdr:rowOff>104775</xdr:rowOff>
                  </from>
                  <to>
                    <xdr:col>22</xdr:col>
                    <xdr:colOff>171450</xdr:colOff>
                    <xdr:row>6</xdr:row>
                    <xdr:rowOff>57150</xdr:rowOff>
                  </to>
                </anchor>
              </controlPr>
            </control>
          </mc:Choice>
        </mc:AlternateContent>
        <mc:AlternateContent xmlns:mc="http://schemas.openxmlformats.org/markup-compatibility/2006">
          <mc:Choice Requires="x14">
            <control shapeId="3154" r:id="rId8" name="Spinner 82">
              <controlPr defaultSize="0" autoFill="0" autoLine="0" autoPict="0">
                <anchor moveWithCells="1">
                  <from>
                    <xdr:col>22</xdr:col>
                    <xdr:colOff>9525</xdr:colOff>
                    <xdr:row>1</xdr:row>
                    <xdr:rowOff>85725</xdr:rowOff>
                  </from>
                  <to>
                    <xdr:col>22</xdr:col>
                    <xdr:colOff>161925</xdr:colOff>
                    <xdr:row>3</xdr:row>
                    <xdr:rowOff>28575</xdr:rowOff>
                  </to>
                </anchor>
              </controlPr>
            </control>
          </mc:Choice>
        </mc:AlternateContent>
        <mc:AlternateContent xmlns:mc="http://schemas.openxmlformats.org/markup-compatibility/2006">
          <mc:Choice Requires="x14">
            <control shapeId="3158" r:id="rId9" name="Spinner 86">
              <controlPr defaultSize="0" autoFill="0" autoLine="0" autoPict="0">
                <anchor moveWithCells="1">
                  <from>
                    <xdr:col>0</xdr:col>
                    <xdr:colOff>438150</xdr:colOff>
                    <xdr:row>12</xdr:row>
                    <xdr:rowOff>57150</xdr:rowOff>
                  </from>
                  <to>
                    <xdr:col>1</xdr:col>
                    <xdr:colOff>38100</xdr:colOff>
                    <xdr:row>14</xdr:row>
                    <xdr:rowOff>57150</xdr:rowOff>
                  </to>
                </anchor>
              </controlPr>
            </control>
          </mc:Choice>
        </mc:AlternateContent>
        <mc:AlternateContent xmlns:mc="http://schemas.openxmlformats.org/markup-compatibility/2006">
          <mc:Choice Requires="x14">
            <control shapeId="3186" r:id="rId10" name="Button 114">
              <controlPr defaultSize="0" print="0" autoFill="0" autoLine="0" autoPict="0" macro="[0]!updateRegion">
                <anchor moveWithCells="1" sizeWithCells="1">
                  <from>
                    <xdr:col>0</xdr:col>
                    <xdr:colOff>0</xdr:colOff>
                    <xdr:row>22</xdr:row>
                    <xdr:rowOff>152400</xdr:rowOff>
                  </from>
                  <to>
                    <xdr:col>1</xdr:col>
                    <xdr:colOff>495300</xdr:colOff>
                    <xdr:row>25</xdr:row>
                    <xdr:rowOff>28575</xdr:rowOff>
                  </to>
                </anchor>
              </controlPr>
            </control>
          </mc:Choice>
        </mc:AlternateContent>
        <mc:AlternateContent xmlns:mc="http://schemas.openxmlformats.org/markup-compatibility/2006">
          <mc:Choice Requires="x14">
            <control shapeId="3187" r:id="rId11" name="Button 115">
              <controlPr defaultSize="0" print="0" autoFill="0" autoLine="0" autoPict="0" macro="[0]!updateRow">
                <anchor moveWithCells="1" sizeWithCells="1">
                  <from>
                    <xdr:col>1</xdr:col>
                    <xdr:colOff>552450</xdr:colOff>
                    <xdr:row>23</xdr:row>
                    <xdr:rowOff>0</xdr:rowOff>
                  </from>
                  <to>
                    <xdr:col>3</xdr:col>
                    <xdr:colOff>76200</xdr:colOff>
                    <xdr:row>25</xdr:row>
                    <xdr:rowOff>19050</xdr:rowOff>
                  </to>
                </anchor>
              </controlPr>
            </control>
          </mc:Choice>
        </mc:AlternateContent>
        <mc:AlternateContent xmlns:mc="http://schemas.openxmlformats.org/markup-compatibility/2006">
          <mc:Choice Requires="x14">
            <control shapeId="3188" r:id="rId12" name="Button 116">
              <controlPr defaultSize="0" print="0" autoFill="0" autoLine="0" autoPict="0" macro="[0]!_xludf.table">
                <anchor moveWithCells="1" sizeWithCells="1">
                  <from>
                    <xdr:col>10</xdr:col>
                    <xdr:colOff>9525</xdr:colOff>
                    <xdr:row>23</xdr:row>
                    <xdr:rowOff>0</xdr:rowOff>
                  </from>
                  <to>
                    <xdr:col>12</xdr:col>
                    <xdr:colOff>171450</xdr:colOff>
                    <xdr:row>25</xdr:row>
                    <xdr:rowOff>19050</xdr:rowOff>
                  </to>
                </anchor>
              </controlPr>
            </control>
          </mc:Choice>
        </mc:AlternateContent>
        <mc:AlternateContent xmlns:mc="http://schemas.openxmlformats.org/markup-compatibility/2006">
          <mc:Choice Requires="x14">
            <control shapeId="3189" r:id="rId13" name="Button 117">
              <controlPr defaultSize="0" print="0" autoFill="0" autoLine="0" autoPict="0" macro="[0]!secgrowth">
                <anchor moveWithCells="1" sizeWithCells="1">
                  <from>
                    <xdr:col>3</xdr:col>
                    <xdr:colOff>180975</xdr:colOff>
                    <xdr:row>22</xdr:row>
                    <xdr:rowOff>152400</xdr:rowOff>
                  </from>
                  <to>
                    <xdr:col>6</xdr:col>
                    <xdr:colOff>76200</xdr:colOff>
                    <xdr:row>25</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36"/>
  <sheetViews>
    <sheetView showGridLines="0" workbookViewId="0">
      <selection activeCell="B26" sqref="B26"/>
    </sheetView>
  </sheetViews>
  <sheetFormatPr defaultColWidth="8" defaultRowHeight="12.75"/>
  <cols>
    <col min="1" max="16384" width="8" style="5"/>
  </cols>
  <sheetData>
    <row r="1" spans="1:10">
      <c r="A1" s="8" t="s">
        <v>75</v>
      </c>
      <c r="B1" s="9" t="s">
        <v>76</v>
      </c>
      <c r="C1" s="10"/>
      <c r="D1" s="11"/>
      <c r="E1" s="10"/>
      <c r="F1" s="12" t="s">
        <v>77</v>
      </c>
      <c r="G1"/>
      <c r="H1"/>
      <c r="I1" s="12" t="s">
        <v>78</v>
      </c>
    </row>
    <row r="2" spans="1:10">
      <c r="A2" s="78" t="s">
        <v>79</v>
      </c>
      <c r="B2" s="58" t="s">
        <v>80</v>
      </c>
      <c r="C2" s="10"/>
      <c r="D2" s="6"/>
      <c r="E2" s="13"/>
      <c r="F2" s="79" t="s">
        <v>81</v>
      </c>
      <c r="G2" s="79"/>
      <c r="H2" s="79"/>
      <c r="I2" s="79"/>
      <c r="J2" s="79"/>
    </row>
    <row r="3" spans="1:10">
      <c r="A3" s="79" t="s">
        <v>82</v>
      </c>
      <c r="B3" s="16" t="s">
        <v>83</v>
      </c>
      <c r="C3" s="17"/>
      <c r="D3" s="6"/>
      <c r="F3" s="79" t="s">
        <v>81</v>
      </c>
      <c r="G3" s="79"/>
      <c r="H3" s="79"/>
      <c r="I3" s="79"/>
      <c r="J3" s="79"/>
    </row>
    <row r="4" spans="1:10">
      <c r="A4" s="79" t="s">
        <v>84</v>
      </c>
      <c r="B4" s="16" t="s">
        <v>85</v>
      </c>
      <c r="C4" s="17"/>
      <c r="D4" s="6"/>
      <c r="F4" s="79" t="s">
        <v>86</v>
      </c>
      <c r="G4" s="79"/>
      <c r="H4" s="79"/>
      <c r="I4" s="79"/>
      <c r="J4" s="79"/>
    </row>
    <row r="5" spans="1:10" customFormat="1">
      <c r="A5" s="78" t="s">
        <v>87</v>
      </c>
      <c r="B5" s="58" t="s">
        <v>88</v>
      </c>
      <c r="F5" s="79" t="s">
        <v>81</v>
      </c>
      <c r="G5" s="79"/>
      <c r="H5" s="79"/>
      <c r="I5" s="79"/>
      <c r="J5" s="79"/>
    </row>
    <row r="6" spans="1:10">
      <c r="A6" s="79" t="s">
        <v>89</v>
      </c>
      <c r="B6" s="16" t="s">
        <v>90</v>
      </c>
      <c r="C6" s="17"/>
      <c r="D6" s="6"/>
      <c r="F6" s="79" t="s">
        <v>81</v>
      </c>
      <c r="G6" s="79"/>
      <c r="H6" s="79"/>
      <c r="I6" s="79"/>
      <c r="J6" s="79"/>
    </row>
    <row r="7" spans="1:10">
      <c r="A7" s="79" t="s">
        <v>66</v>
      </c>
      <c r="B7" s="14" t="s">
        <v>91</v>
      </c>
      <c r="C7" s="15"/>
      <c r="D7" s="6"/>
      <c r="F7" s="79" t="s">
        <v>81</v>
      </c>
      <c r="G7" s="79"/>
      <c r="H7" s="79"/>
      <c r="I7" s="79"/>
      <c r="J7" s="79"/>
    </row>
    <row r="8" spans="1:10">
      <c r="A8" s="80" t="s">
        <v>92</v>
      </c>
      <c r="B8" s="72" t="s">
        <v>93</v>
      </c>
      <c r="C8" s="73"/>
      <c r="D8" s="74"/>
      <c r="E8" s="74"/>
      <c r="F8" s="79" t="s">
        <v>81</v>
      </c>
      <c r="G8" s="79"/>
      <c r="H8" s="79"/>
      <c r="I8" s="79"/>
      <c r="J8" s="79"/>
    </row>
    <row r="9" spans="1:10">
      <c r="A9" s="80" t="s">
        <v>94</v>
      </c>
      <c r="B9" s="72" t="s">
        <v>95</v>
      </c>
      <c r="C9" s="73"/>
      <c r="D9" s="74"/>
      <c r="E9" s="74"/>
      <c r="F9" s="79" t="s">
        <v>81</v>
      </c>
      <c r="G9" s="79"/>
      <c r="H9" s="79"/>
      <c r="I9" s="79"/>
      <c r="J9" s="79"/>
    </row>
    <row r="10" spans="1:10">
      <c r="A10" s="80" t="s">
        <v>96</v>
      </c>
      <c r="B10" s="72" t="s">
        <v>97</v>
      </c>
      <c r="C10" s="73"/>
      <c r="D10" s="74"/>
      <c r="E10" s="74"/>
      <c r="F10" s="79" t="s">
        <v>81</v>
      </c>
      <c r="G10" s="79"/>
      <c r="H10" s="79"/>
      <c r="I10" s="79"/>
      <c r="J10" s="79"/>
    </row>
    <row r="11" spans="1:10">
      <c r="A11" s="79" t="s">
        <v>98</v>
      </c>
      <c r="B11" s="18" t="s">
        <v>99</v>
      </c>
      <c r="C11" s="19"/>
      <c r="D11" s="6"/>
      <c r="E11" s="6"/>
      <c r="F11" s="79" t="s">
        <v>81</v>
      </c>
      <c r="G11" s="79"/>
      <c r="H11" s="79"/>
      <c r="I11" s="79"/>
      <c r="J11" s="79"/>
    </row>
    <row r="12" spans="1:10">
      <c r="A12" s="79" t="s">
        <v>100</v>
      </c>
      <c r="B12" s="18" t="s">
        <v>101</v>
      </c>
      <c r="C12" s="19"/>
      <c r="D12" s="6"/>
      <c r="E12" s="6"/>
      <c r="F12" s="79" t="s">
        <v>86</v>
      </c>
      <c r="G12" s="79"/>
      <c r="H12" s="79"/>
      <c r="I12" s="79"/>
      <c r="J12" s="79"/>
    </row>
    <row r="13" spans="1:10">
      <c r="A13" s="79" t="s">
        <v>68</v>
      </c>
      <c r="B13" s="18" t="s">
        <v>102</v>
      </c>
      <c r="C13" s="19"/>
      <c r="D13" s="6"/>
      <c r="E13" s="13"/>
      <c r="F13" s="79" t="s">
        <v>81</v>
      </c>
      <c r="G13" s="79"/>
      <c r="H13" s="79"/>
      <c r="I13" s="79"/>
      <c r="J13" s="79"/>
    </row>
    <row r="14" spans="1:10">
      <c r="A14" s="79" t="s">
        <v>103</v>
      </c>
      <c r="B14" s="18" t="s">
        <v>104</v>
      </c>
      <c r="C14" s="19"/>
      <c r="D14" s="6"/>
      <c r="E14" s="13"/>
      <c r="F14" s="79" t="s">
        <v>105</v>
      </c>
      <c r="G14" s="79"/>
      <c r="H14" s="79"/>
      <c r="I14" s="79"/>
      <c r="J14" s="79"/>
    </row>
    <row r="15" spans="1:10">
      <c r="A15" s="79" t="s">
        <v>106</v>
      </c>
      <c r="B15" s="18" t="s">
        <v>107</v>
      </c>
      <c r="C15" s="19"/>
      <c r="D15" s="6"/>
      <c r="E15" s="13"/>
      <c r="F15" s="79" t="s">
        <v>108</v>
      </c>
      <c r="G15" s="79"/>
      <c r="H15" s="79"/>
      <c r="I15" s="79"/>
      <c r="J15" s="79"/>
    </row>
    <row r="16" spans="1:10">
      <c r="A16" s="79" t="s">
        <v>109</v>
      </c>
      <c r="B16" s="18" t="s">
        <v>110</v>
      </c>
      <c r="C16" s="19"/>
      <c r="D16" s="6"/>
      <c r="E16" s="13"/>
      <c r="F16" s="79" t="s">
        <v>111</v>
      </c>
      <c r="G16" s="79"/>
      <c r="H16" s="79"/>
      <c r="I16" s="79"/>
      <c r="J16" s="79"/>
    </row>
    <row r="17" spans="1:10">
      <c r="A17" s="79" t="s">
        <v>112</v>
      </c>
      <c r="B17" s="18" t="s">
        <v>113</v>
      </c>
      <c r="C17" s="19"/>
      <c r="D17" s="6"/>
      <c r="E17" s="13"/>
      <c r="F17" s="79" t="s">
        <v>114</v>
      </c>
      <c r="G17" s="79"/>
      <c r="H17" s="79"/>
      <c r="I17" s="79"/>
      <c r="J17" s="79"/>
    </row>
    <row r="18" spans="1:10">
      <c r="A18" s="79" t="s">
        <v>115</v>
      </c>
      <c r="B18" s="18" t="s">
        <v>116</v>
      </c>
      <c r="C18" s="20"/>
      <c r="D18" s="21"/>
      <c r="E18" s="6"/>
      <c r="F18" s="79" t="s">
        <v>81</v>
      </c>
      <c r="G18" s="79"/>
      <c r="H18" s="79"/>
      <c r="I18" s="79"/>
      <c r="J18" s="79"/>
    </row>
    <row r="19" spans="1:10">
      <c r="A19" s="92" t="s">
        <v>117</v>
      </c>
      <c r="B19" s="18" t="s">
        <v>118</v>
      </c>
      <c r="C19" s="20"/>
      <c r="D19" s="21"/>
      <c r="E19" s="6"/>
      <c r="F19" s="79" t="s">
        <v>119</v>
      </c>
      <c r="G19" s="79"/>
      <c r="H19" s="79"/>
      <c r="I19" s="79"/>
      <c r="J19" s="79"/>
    </row>
    <row r="20" spans="1:10">
      <c r="A20" s="79" t="s">
        <v>120</v>
      </c>
      <c r="B20" s="7" t="s">
        <v>121</v>
      </c>
      <c r="C20" s="19"/>
      <c r="D20" s="6"/>
      <c r="E20" s="6"/>
      <c r="F20" s="79" t="s">
        <v>81</v>
      </c>
      <c r="G20" s="79"/>
      <c r="H20" s="79"/>
      <c r="I20" s="79"/>
      <c r="J20" s="79"/>
    </row>
    <row r="21" spans="1:10">
      <c r="A21" s="79" t="s">
        <v>122</v>
      </c>
      <c r="B21" s="7" t="s">
        <v>123</v>
      </c>
      <c r="C21" s="19"/>
      <c r="D21" s="6"/>
      <c r="E21" s="6"/>
      <c r="F21" s="79" t="s">
        <v>105</v>
      </c>
      <c r="G21" s="79"/>
      <c r="H21" s="79"/>
      <c r="I21" s="79"/>
      <c r="J21" s="79"/>
    </row>
    <row r="22" spans="1:10">
      <c r="A22" s="79" t="s">
        <v>124</v>
      </c>
      <c r="B22" s="7" t="s">
        <v>125</v>
      </c>
      <c r="C22" s="19"/>
      <c r="D22" s="6"/>
      <c r="E22" s="6"/>
      <c r="F22" s="79" t="s">
        <v>108</v>
      </c>
      <c r="G22" s="79"/>
      <c r="H22" s="79"/>
      <c r="I22" s="79"/>
      <c r="J22" s="79"/>
    </row>
    <row r="23" spans="1:10">
      <c r="A23" s="79" t="s">
        <v>126</v>
      </c>
      <c r="B23" s="18" t="s">
        <v>127</v>
      </c>
      <c r="C23" s="20"/>
      <c r="D23" s="21"/>
      <c r="E23" s="6"/>
      <c r="F23" s="79" t="s">
        <v>81</v>
      </c>
      <c r="G23" s="79"/>
      <c r="H23" s="79"/>
      <c r="I23" s="79"/>
      <c r="J23" s="79"/>
    </row>
    <row r="24" spans="1:10">
      <c r="A24" s="79" t="s">
        <v>128</v>
      </c>
      <c r="B24" s="18" t="s">
        <v>129</v>
      </c>
      <c r="F24" s="79" t="s">
        <v>105</v>
      </c>
      <c r="G24" s="79"/>
      <c r="H24" s="79"/>
      <c r="I24" s="79"/>
      <c r="J24" s="79"/>
    </row>
    <row r="25" spans="1:10">
      <c r="A25" s="79"/>
      <c r="B25" s="18"/>
      <c r="F25" s="79"/>
      <c r="G25" s="79"/>
      <c r="H25" s="79"/>
      <c r="I25" s="79"/>
      <c r="J25" s="79"/>
    </row>
    <row r="26" spans="1:10">
      <c r="A26" s="79" t="s">
        <v>130</v>
      </c>
      <c r="B26" s="18" t="s">
        <v>131</v>
      </c>
      <c r="F26" s="79" t="s">
        <v>132</v>
      </c>
      <c r="G26" s="79"/>
      <c r="H26" s="79"/>
      <c r="I26" s="79" t="s">
        <v>133</v>
      </c>
      <c r="J26" s="79"/>
    </row>
    <row r="27" spans="1:10">
      <c r="A27" s="79" t="s">
        <v>134</v>
      </c>
      <c r="B27" s="18" t="s">
        <v>135</v>
      </c>
      <c r="F27" s="79" t="s">
        <v>136</v>
      </c>
      <c r="G27" s="79"/>
      <c r="H27" s="79"/>
      <c r="I27" s="79" t="s">
        <v>133</v>
      </c>
      <c r="J27" s="79"/>
    </row>
    <row r="28" spans="1:10">
      <c r="A28" s="79" t="s">
        <v>137</v>
      </c>
      <c r="B28" s="16" t="s">
        <v>138</v>
      </c>
      <c r="C28" s="17"/>
      <c r="D28" s="6"/>
      <c r="F28" s="79" t="s">
        <v>81</v>
      </c>
      <c r="G28" s="79"/>
      <c r="H28" s="79"/>
      <c r="I28" s="79"/>
      <c r="J28" s="79"/>
    </row>
    <row r="29" spans="1:10" customFormat="1">
      <c r="A29" s="79" t="s">
        <v>139</v>
      </c>
      <c r="B29" s="18" t="s">
        <v>140</v>
      </c>
      <c r="F29" s="79" t="s">
        <v>141</v>
      </c>
      <c r="I29" s="79" t="s">
        <v>133</v>
      </c>
    </row>
    <row r="30" spans="1:10">
      <c r="A30" s="79" t="s">
        <v>142</v>
      </c>
      <c r="B30" s="14" t="s">
        <v>143</v>
      </c>
      <c r="F30" s="5" t="s">
        <v>144</v>
      </c>
      <c r="G30"/>
      <c r="H30"/>
      <c r="I30" s="13" t="s">
        <v>145</v>
      </c>
    </row>
    <row r="31" spans="1:10">
      <c r="G31" s="10"/>
    </row>
    <row r="32" spans="1:10">
      <c r="A32" s="6"/>
      <c r="B32" s="6"/>
      <c r="C32" s="6"/>
      <c r="D32" s="6"/>
      <c r="E32" s="6"/>
      <c r="F32" s="6"/>
      <c r="G32" s="6"/>
    </row>
    <row r="33" spans="1:7">
      <c r="B33" s="6"/>
      <c r="C33" s="6"/>
      <c r="D33" s="6"/>
      <c r="E33" s="6"/>
      <c r="F33" s="6"/>
      <c r="G33" s="6"/>
    </row>
    <row r="34" spans="1:7">
      <c r="A34" s="12"/>
      <c r="B34" s="18"/>
      <c r="C34" s="20"/>
      <c r="D34" s="13"/>
      <c r="E34" s="6"/>
      <c r="F34" s="6"/>
      <c r="G34" s="6"/>
    </row>
    <row r="35" spans="1:7">
      <c r="A35" s="12"/>
      <c r="B35" s="18"/>
      <c r="C35" s="17"/>
      <c r="D35" s="6"/>
      <c r="E35" s="6"/>
      <c r="F35" s="6"/>
      <c r="G35" s="6"/>
    </row>
    <row r="36" spans="1:7">
      <c r="A36" s="12"/>
      <c r="B36" s="18"/>
      <c r="C36" s="17"/>
      <c r="D36" s="6"/>
      <c r="E36" s="6"/>
      <c r="F36" s="6"/>
      <c r="G36" s="6"/>
    </row>
  </sheetData>
  <phoneticPr fontId="0" type="noConversion"/>
  <printOptions gridLinesSet="0"/>
  <pageMargins left="0.75" right="0.75" top="1" bottom="1" header="0.5" footer="0.5"/>
  <pageSetup paperSize="9" orientation="portrait" r:id="rId1"/>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34"/>
  <sheetViews>
    <sheetView showGridLines="0" workbookViewId="0">
      <selection activeCell="J27" sqref="J27"/>
    </sheetView>
  </sheetViews>
  <sheetFormatPr defaultColWidth="8.875" defaultRowHeight="12.75"/>
  <cols>
    <col min="1" max="1" width="12" style="62" customWidth="1"/>
    <col min="2" max="2" width="11.25" style="62" customWidth="1"/>
    <col min="3" max="16384" width="8.875" style="62"/>
  </cols>
  <sheetData>
    <row r="1" spans="1:8">
      <c r="A1" s="61" t="s">
        <v>0</v>
      </c>
      <c r="C1" s="63"/>
      <c r="D1" s="1"/>
      <c r="E1" s="61"/>
      <c r="F1"/>
      <c r="G1"/>
      <c r="H1"/>
    </row>
    <row r="2" spans="1:8">
      <c r="A2" s="64" t="s">
        <v>2</v>
      </c>
      <c r="B2" s="64"/>
      <c r="C2" s="64"/>
      <c r="D2" s="1"/>
      <c r="E2" s="82"/>
      <c r="F2" s="83"/>
      <c r="G2" s="83"/>
      <c r="H2" s="83"/>
    </row>
    <row r="3" spans="1:8">
      <c r="A3" s="65" t="s">
        <v>4</v>
      </c>
      <c r="B3" s="66"/>
      <c r="C3" s="67"/>
      <c r="D3" s="1"/>
      <c r="E3" s="82"/>
      <c r="F3" s="83"/>
      <c r="G3" s="83"/>
      <c r="H3" s="83"/>
    </row>
    <row r="4" spans="1:8">
      <c r="A4" s="68" t="s">
        <v>7</v>
      </c>
      <c r="B4" s="68"/>
      <c r="C4" s="68"/>
      <c r="D4" s="1"/>
      <c r="E4" s="82"/>
      <c r="F4" s="83"/>
      <c r="G4" s="83"/>
      <c r="H4" s="83"/>
    </row>
    <row r="5" spans="1:8">
      <c r="A5"/>
      <c r="B5" s="81"/>
      <c r="C5" s="81"/>
      <c r="E5" s="82"/>
      <c r="F5" s="82"/>
      <c r="G5" s="82"/>
      <c r="H5" s="82"/>
    </row>
    <row r="6" spans="1:8">
      <c r="A6"/>
      <c r="G6"/>
    </row>
    <row r="7" spans="1:8">
      <c r="A7" s="71" t="s">
        <v>146</v>
      </c>
    </row>
    <row r="8" spans="1:8">
      <c r="A8" s="69" t="s">
        <v>147</v>
      </c>
      <c r="B8" s="62" t="s">
        <v>148</v>
      </c>
    </row>
    <row r="9" spans="1:8">
      <c r="A9" s="69" t="s">
        <v>149</v>
      </c>
      <c r="B9" s="62" t="s">
        <v>150</v>
      </c>
    </row>
    <row r="10" spans="1:8">
      <c r="A10" s="69" t="s">
        <v>151</v>
      </c>
      <c r="B10" s="62" t="s">
        <v>152</v>
      </c>
    </row>
    <row r="11" spans="1:8">
      <c r="A11" s="69"/>
      <c r="B11" s="62" t="s">
        <v>153</v>
      </c>
      <c r="C11" s="1"/>
      <c r="D11" s="1"/>
      <c r="E11" s="1"/>
    </row>
    <row r="12" spans="1:8">
      <c r="A12" s="69"/>
      <c r="B12" s="81" t="s">
        <v>154</v>
      </c>
      <c r="C12" s="1"/>
      <c r="D12" s="1"/>
      <c r="E12" s="1"/>
    </row>
    <row r="13" spans="1:8">
      <c r="A13" s="69"/>
      <c r="B13" s="81"/>
      <c r="C13" s="1"/>
      <c r="D13" s="1"/>
      <c r="E13" s="1"/>
    </row>
    <row r="14" spans="1:8">
      <c r="A14" s="69" t="s">
        <v>155</v>
      </c>
      <c r="B14"/>
      <c r="G14" s="61" t="s">
        <v>156</v>
      </c>
    </row>
    <row r="15" spans="1:8">
      <c r="A15" s="69" t="s">
        <v>157</v>
      </c>
      <c r="B15" s="62" t="s">
        <v>65</v>
      </c>
      <c r="G15" s="62" t="s">
        <v>57</v>
      </c>
    </row>
    <row r="16" spans="1:8">
      <c r="A16" s="69" t="s">
        <v>158</v>
      </c>
      <c r="B16" s="62" t="s">
        <v>159</v>
      </c>
      <c r="G16" s="62" t="s">
        <v>160</v>
      </c>
    </row>
    <row r="17" spans="1:7">
      <c r="A17" s="70" t="s">
        <v>161</v>
      </c>
      <c r="B17" s="62" t="s">
        <v>162</v>
      </c>
      <c r="G17" s="62" t="s">
        <v>160</v>
      </c>
    </row>
    <row r="18" spans="1:7" ht="14.25">
      <c r="A18" s="70" t="s">
        <v>163</v>
      </c>
      <c r="B18" s="62" t="s">
        <v>164</v>
      </c>
      <c r="G18" s="62" t="s">
        <v>165</v>
      </c>
    </row>
    <row r="19" spans="1:7">
      <c r="A19" s="69" t="s">
        <v>166</v>
      </c>
      <c r="B19" s="62" t="s">
        <v>167</v>
      </c>
      <c r="G19" s="62" t="s">
        <v>160</v>
      </c>
    </row>
    <row r="20" spans="1:7" ht="14.25">
      <c r="A20" s="69" t="s">
        <v>168</v>
      </c>
      <c r="B20" s="62" t="s">
        <v>169</v>
      </c>
      <c r="G20" s="62" t="s">
        <v>160</v>
      </c>
    </row>
    <row r="21" spans="1:7">
      <c r="A21" s="69" t="s">
        <v>170</v>
      </c>
      <c r="B21" s="62" t="s">
        <v>171</v>
      </c>
      <c r="G21" s="62" t="s">
        <v>172</v>
      </c>
    </row>
    <row r="22" spans="1:7">
      <c r="A22" s="69" t="s">
        <v>173</v>
      </c>
      <c r="B22" s="62" t="s">
        <v>174</v>
      </c>
      <c r="G22" s="62" t="s">
        <v>175</v>
      </c>
    </row>
    <row r="23" spans="1:7">
      <c r="A23" s="69" t="s">
        <v>176</v>
      </c>
      <c r="B23" s="62" t="s">
        <v>177</v>
      </c>
      <c r="G23" s="62" t="s">
        <v>175</v>
      </c>
    </row>
    <row r="24" spans="1:7">
      <c r="A24" s="69" t="s">
        <v>274</v>
      </c>
      <c r="B24" s="62" t="s">
        <v>178</v>
      </c>
      <c r="G24" s="62" t="s">
        <v>175</v>
      </c>
    </row>
    <row r="25" spans="1:7">
      <c r="A25" s="70" t="s">
        <v>25</v>
      </c>
      <c r="B25" s="62" t="s">
        <v>275</v>
      </c>
      <c r="G25" s="62" t="s">
        <v>182</v>
      </c>
    </row>
    <row r="26" spans="1:7">
      <c r="A26" s="70" t="s">
        <v>179</v>
      </c>
      <c r="B26" s="62" t="s">
        <v>180</v>
      </c>
      <c r="C26"/>
      <c r="G26" s="62" t="s">
        <v>62</v>
      </c>
    </row>
    <row r="27" spans="1:7">
      <c r="A27" s="70" t="s">
        <v>181</v>
      </c>
      <c r="B27" s="62" t="s">
        <v>34</v>
      </c>
      <c r="C27"/>
      <c r="G27" s="62" t="s">
        <v>182</v>
      </c>
    </row>
    <row r="28" spans="1:7" ht="14.25">
      <c r="A28" s="70" t="s">
        <v>183</v>
      </c>
      <c r="B28" s="62" t="s">
        <v>184</v>
      </c>
      <c r="C28"/>
      <c r="G28" s="62" t="s">
        <v>182</v>
      </c>
    </row>
    <row r="29" spans="1:7">
      <c r="A29" s="70" t="s">
        <v>185</v>
      </c>
      <c r="B29" s="62" t="s">
        <v>186</v>
      </c>
      <c r="C29"/>
      <c r="G29" s="62" t="s">
        <v>187</v>
      </c>
    </row>
    <row r="30" spans="1:7" ht="12.75" customHeight="1">
      <c r="A30" s="70" t="s">
        <v>188</v>
      </c>
      <c r="B30" s="62" t="s">
        <v>189</v>
      </c>
      <c r="C30"/>
      <c r="G30" s="62" t="s">
        <v>187</v>
      </c>
    </row>
    <row r="31" spans="1:7" ht="12.75" customHeight="1">
      <c r="A31" s="70" t="s">
        <v>190</v>
      </c>
      <c r="B31" s="62" t="s">
        <v>191</v>
      </c>
      <c r="C31"/>
      <c r="G31" s="62" t="s">
        <v>187</v>
      </c>
    </row>
    <row r="32" spans="1:7" ht="12.75" customHeight="1">
      <c r="A32" s="70" t="s">
        <v>192</v>
      </c>
      <c r="B32" s="62" t="s">
        <v>193</v>
      </c>
      <c r="C32"/>
      <c r="G32" s="62" t="s">
        <v>187</v>
      </c>
    </row>
    <row r="33" spans="1:7">
      <c r="A33" s="70" t="s">
        <v>194</v>
      </c>
      <c r="B33" s="62" t="s">
        <v>195</v>
      </c>
      <c r="C33"/>
      <c r="G33" s="62" t="s">
        <v>196</v>
      </c>
    </row>
    <row r="34" spans="1:7" ht="14.25">
      <c r="A34" s="70" t="s">
        <v>197</v>
      </c>
      <c r="B34" s="62" t="s">
        <v>198</v>
      </c>
      <c r="G34" s="62" t="s">
        <v>187</v>
      </c>
    </row>
  </sheetData>
  <phoneticPr fontId="0" type="noConversion"/>
  <printOptions gridLinesSet="0"/>
  <pageMargins left="0.75" right="0.75" top="1" bottom="1" header="0.5" footer="0.5"/>
  <pageSetup paperSize="9" orientation="portrait" horizontalDpi="160" verticalDpi="96" r:id="rId1"/>
  <headerFooter alignWithMargins="0">
    <oddHeader>&amp;A</oddHeader>
    <oddFooter>Page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115"/>
  <sheetViews>
    <sheetView workbookViewId="0">
      <pane ySplit="2" topLeftCell="A3" activePane="bottomLeft" state="frozen"/>
      <selection activeCell="E28" sqref="E28"/>
      <selection pane="bottomLeft" activeCell="G29" sqref="G29"/>
    </sheetView>
  </sheetViews>
  <sheetFormatPr defaultColWidth="8.875" defaultRowHeight="12.75"/>
  <cols>
    <col min="1" max="1" width="8.375" style="2" customWidth="1"/>
    <col min="2" max="2" width="12.5" style="2" customWidth="1"/>
    <col min="3" max="3" width="8.875" style="2" customWidth="1"/>
    <col min="4" max="4" width="7.25" style="2" customWidth="1"/>
    <col min="5" max="5" width="6.875" style="2" customWidth="1"/>
    <col min="6" max="6" width="5.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3" t="str">
        <f>Orgs!B2</f>
        <v>Aeromonas hydrophila</v>
      </c>
    </row>
    <row r="2" spans="1:15" s="24" customFormat="1" ht="14.25">
      <c r="A2" s="26"/>
      <c r="B2" s="27"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0">
        <v>3</v>
      </c>
      <c r="C3" s="75">
        <f>EXP(-6.3)</f>
        <v>1.8363047770289071E-3</v>
      </c>
      <c r="D3" s="30">
        <v>20</v>
      </c>
      <c r="E3" s="30">
        <v>7</v>
      </c>
      <c r="F3" s="32" t="s">
        <v>201</v>
      </c>
      <c r="G3" s="30">
        <v>0.5</v>
      </c>
      <c r="H3" s="30"/>
      <c r="I3" s="30"/>
      <c r="J3" s="30"/>
      <c r="K3" s="30"/>
      <c r="L3" s="30"/>
      <c r="M3" s="30"/>
      <c r="N3" s="30"/>
      <c r="O3" s="33"/>
    </row>
    <row r="4" spans="1:15">
      <c r="A4" s="29" t="s">
        <v>202</v>
      </c>
      <c r="B4" s="30"/>
      <c r="C4" s="34"/>
      <c r="D4" s="30">
        <v>2</v>
      </c>
      <c r="E4" s="30">
        <v>4.5999999999999996</v>
      </c>
      <c r="F4" s="30"/>
      <c r="G4" s="30">
        <v>0</v>
      </c>
      <c r="H4" s="30"/>
      <c r="I4" s="30"/>
      <c r="J4" s="30"/>
      <c r="K4" s="30"/>
      <c r="L4" s="30"/>
      <c r="M4" s="30"/>
      <c r="N4" s="30"/>
      <c r="O4" s="33"/>
    </row>
    <row r="5" spans="1:15" ht="13.5" thickBot="1">
      <c r="A5" s="35" t="s">
        <v>203</v>
      </c>
      <c r="B5" s="36"/>
      <c r="C5" s="37"/>
      <c r="D5" s="36">
        <v>25</v>
      </c>
      <c r="E5" s="36">
        <v>7.5</v>
      </c>
      <c r="F5" s="36"/>
      <c r="G5" s="36">
        <v>4.5</v>
      </c>
      <c r="H5" s="36"/>
      <c r="I5" s="36"/>
      <c r="J5" s="36"/>
      <c r="K5" s="36"/>
      <c r="L5" s="36"/>
      <c r="M5" s="36"/>
      <c r="N5" s="36"/>
      <c r="O5" s="38"/>
    </row>
    <row r="6" spans="1:15" ht="13.5" thickBot="1">
      <c r="A6"/>
      <c r="C6" s="25"/>
    </row>
    <row r="7" spans="1:15">
      <c r="A7" s="39"/>
      <c r="B7" s="27"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c r="B8" s="41">
        <v>31010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c r="A9" s="2" t="s">
        <v>212</v>
      </c>
      <c r="D9" s="2">
        <v>3</v>
      </c>
      <c r="E9" s="2">
        <v>0.6</v>
      </c>
      <c r="F9" s="2">
        <v>0.01</v>
      </c>
    </row>
    <row r="10" spans="1:15" ht="14.25">
      <c r="A10" s="39"/>
      <c r="B10" s="53" t="s">
        <v>213</v>
      </c>
      <c r="C10" s="27"/>
      <c r="D10" s="27"/>
      <c r="E10" s="43"/>
      <c r="F10" s="43"/>
      <c r="G10" s="44"/>
      <c r="H10" s="56" t="s">
        <v>214</v>
      </c>
      <c r="I10" s="45"/>
    </row>
    <row r="11" spans="1:15">
      <c r="A11" s="29" t="s">
        <v>215</v>
      </c>
      <c r="B11" s="32">
        <v>0.34</v>
      </c>
      <c r="C11" s="46"/>
      <c r="D11" s="30"/>
      <c r="E11" s="30"/>
      <c r="F11" s="30"/>
      <c r="G11" s="47"/>
      <c r="H11" s="30"/>
      <c r="I11" s="33"/>
    </row>
    <row r="12" spans="1:15" ht="13.5" thickBot="1">
      <c r="A12" s="35" t="s">
        <v>216</v>
      </c>
      <c r="B12" s="48" t="str">
        <f>" =EXP("&amp;B14&amp;"*("&amp;C14&amp;")+"&amp;B15&amp;"*("&amp;C15&amp;")+"&amp;B16&amp;"*("&amp;C16&amp;")+"&amp;B17&amp;"*("&amp;C17&amp;")+"&amp;B18&amp;"*("&amp;C18&amp;")+"&amp;B19&amp;"*("&amp;C19&amp;")+"&amp;B20&amp;"*("&amp;C20&amp;")+"&amp;B21&amp;"*("&amp;C21&amp;")+"&amp;B22&amp;"*("&amp;C22&amp;")+"&amp;B23&amp;"*("&amp;C23&amp;"))"</f>
        <v xml:space="preserve"> =EXP(1*(-20.92)+tr*(0.2553)+pr*(5.239)+bw*(-7.235)+tr*pr*(0.008878)+tr*bw*(0.06743)+pr*bw*(1.771)+tr^2*(-0.007037)+pr^2*(-0.4031)+bw^2*(-80.18))</v>
      </c>
      <c r="C12" s="49"/>
      <c r="D12" s="50"/>
      <c r="E12" s="49"/>
      <c r="F12" s="50"/>
      <c r="G12" s="51"/>
      <c r="H12" s="36">
        <f>17/2.3</f>
        <v>7.3913043478260878</v>
      </c>
      <c r="I12" s="38"/>
    </row>
    <row r="13" spans="1:15" ht="13.5" thickBot="1"/>
    <row r="14" spans="1:15">
      <c r="A14" s="1">
        <v>1</v>
      </c>
      <c r="B14" s="24">
        <v>1</v>
      </c>
      <c r="C14" s="2">
        <v>-20.92</v>
      </c>
      <c r="D14">
        <v>26.033999999999999</v>
      </c>
      <c r="E14" s="4"/>
      <c r="F14" s="201"/>
      <c r="G14" s="202"/>
      <c r="H14" s="202"/>
      <c r="I14" s="202"/>
      <c r="J14" s="202"/>
      <c r="K14" s="202"/>
      <c r="L14" s="202"/>
      <c r="M14" s="202"/>
      <c r="N14" s="202"/>
      <c r="O14" s="203"/>
    </row>
    <row r="15" spans="1:15">
      <c r="A15" s="1">
        <v>20</v>
      </c>
      <c r="B15" s="24" t="s">
        <v>45</v>
      </c>
      <c r="C15" s="2">
        <v>0.25530000000000003</v>
      </c>
      <c r="D15" s="2">
        <v>0.26269999999999999</v>
      </c>
      <c r="E15" s="4"/>
      <c r="F15" s="204" t="s">
        <v>202</v>
      </c>
      <c r="G15" s="205" t="s">
        <v>203</v>
      </c>
      <c r="H15" s="205"/>
      <c r="I15" s="205"/>
      <c r="J15" s="205"/>
      <c r="K15" s="205"/>
      <c r="L15" s="206" t="s">
        <v>217</v>
      </c>
      <c r="M15" s="205">
        <v>18.044</v>
      </c>
      <c r="N15" s="205"/>
      <c r="O15" s="207"/>
    </row>
    <row r="16" spans="1:15">
      <c r="A16" s="1">
        <v>7</v>
      </c>
      <c r="B16" s="24" t="s">
        <v>46</v>
      </c>
      <c r="C16" s="2">
        <v>5.2389999999999999</v>
      </c>
      <c r="D16" s="2">
        <v>6.8356000000000003</v>
      </c>
      <c r="F16" s="204">
        <v>-1.5</v>
      </c>
      <c r="G16" s="205">
        <v>35</v>
      </c>
      <c r="H16" s="205"/>
      <c r="I16" s="206" t="s">
        <v>218</v>
      </c>
      <c r="J16" s="205">
        <v>-2.6</v>
      </c>
      <c r="K16" s="205"/>
      <c r="L16" s="205" t="s">
        <v>219</v>
      </c>
      <c r="M16" s="205">
        <v>2.9653999999999998</v>
      </c>
      <c r="N16" s="205"/>
      <c r="O16" s="207"/>
    </row>
    <row r="17" spans="1:18">
      <c r="A17" s="1">
        <v>0.5</v>
      </c>
      <c r="B17" s="24" t="s">
        <v>47</v>
      </c>
      <c r="C17" s="2">
        <v>-7.2350000000000003</v>
      </c>
      <c r="D17" s="2">
        <v>0</v>
      </c>
      <c r="F17" s="204">
        <v>4.5</v>
      </c>
      <c r="G17" s="205">
        <v>7.5</v>
      </c>
      <c r="H17" s="205"/>
      <c r="I17" s="206" t="s">
        <v>220</v>
      </c>
      <c r="J17" s="205">
        <v>4.4000000000000004</v>
      </c>
      <c r="K17" s="205"/>
      <c r="L17" s="205" t="s">
        <v>221</v>
      </c>
      <c r="M17" s="205">
        <v>7.2855999999999996</v>
      </c>
      <c r="N17" s="205"/>
      <c r="O17" s="207"/>
    </row>
    <row r="18" spans="1:18">
      <c r="A18" s="1">
        <f>A$15*A$16</f>
        <v>140</v>
      </c>
      <c r="B18" s="24" t="s">
        <v>222</v>
      </c>
      <c r="C18" s="2">
        <v>8.8780000000000005E-3</v>
      </c>
      <c r="D18" s="2">
        <v>0</v>
      </c>
      <c r="F18" s="204">
        <v>0.97099999999999997</v>
      </c>
      <c r="G18" s="205">
        <v>1</v>
      </c>
      <c r="H18" s="205"/>
      <c r="I18" s="206" t="s">
        <v>223</v>
      </c>
      <c r="J18" s="205">
        <v>0.97</v>
      </c>
      <c r="K18" s="205"/>
      <c r="L18" s="205" t="s">
        <v>224</v>
      </c>
      <c r="M18" s="205">
        <v>5.5105000000000004</v>
      </c>
      <c r="N18" s="205"/>
      <c r="O18" s="207"/>
    </row>
    <row r="19" spans="1:18">
      <c r="A19" s="1">
        <f>A$15*A$17</f>
        <v>10</v>
      </c>
      <c r="B19" s="24" t="s">
        <v>225</v>
      </c>
      <c r="C19" s="2">
        <v>6.7430000000000004E-2</v>
      </c>
      <c r="D19" s="2">
        <v>0</v>
      </c>
      <c r="F19" s="204"/>
      <c r="G19" s="205"/>
      <c r="H19" s="205"/>
      <c r="I19" s="205"/>
      <c r="J19" s="205"/>
      <c r="K19" s="205"/>
      <c r="L19" s="205" t="s">
        <v>226</v>
      </c>
      <c r="M19" s="205">
        <v>0</v>
      </c>
      <c r="N19" s="205"/>
      <c r="O19" s="207"/>
    </row>
    <row r="20" spans="1:18">
      <c r="A20" s="1">
        <f>A$16*A$17</f>
        <v>3.5</v>
      </c>
      <c r="B20" s="24" t="s">
        <v>227</v>
      </c>
      <c r="C20" s="2">
        <v>1.7709999999999999</v>
      </c>
      <c r="D20" s="2">
        <v>1.59297</v>
      </c>
      <c r="F20" s="204"/>
      <c r="G20" s="205"/>
      <c r="H20" s="205"/>
      <c r="I20" s="205"/>
      <c r="J20" s="205"/>
      <c r="K20" s="205"/>
      <c r="L20" s="205" t="s">
        <v>228</v>
      </c>
      <c r="M20" s="205">
        <v>0</v>
      </c>
      <c r="N20" s="205"/>
      <c r="O20" s="207"/>
    </row>
    <row r="21" spans="1:18">
      <c r="A21" s="1">
        <f>A$15^2</f>
        <v>400</v>
      </c>
      <c r="B21" s="24" t="s">
        <v>229</v>
      </c>
      <c r="C21" s="2">
        <v>-7.0369999999999999E-3</v>
      </c>
      <c r="D21" s="2">
        <v>-4.4400000000000004E-3</v>
      </c>
      <c r="F21" s="204"/>
      <c r="G21" s="205"/>
      <c r="H21" s="205"/>
      <c r="I21" s="205"/>
      <c r="J21" s="205"/>
      <c r="K21" s="205"/>
      <c r="L21" s="205" t="s">
        <v>230</v>
      </c>
      <c r="M21" s="205">
        <v>1.0750999999999999</v>
      </c>
      <c r="N21" s="205"/>
      <c r="O21" s="207"/>
    </row>
    <row r="22" spans="1:18" ht="13.5" thickBot="1">
      <c r="A22" s="1">
        <f>A$16^2</f>
        <v>49</v>
      </c>
      <c r="B22" s="24" t="s">
        <v>231</v>
      </c>
      <c r="C22" s="2">
        <v>-0.40310000000000001</v>
      </c>
      <c r="D22" s="2">
        <v>-0.52103999999999995</v>
      </c>
      <c r="F22" s="208"/>
      <c r="G22" s="209"/>
      <c r="H22" s="209"/>
      <c r="I22" s="209"/>
      <c r="J22" s="209"/>
      <c r="K22" s="209"/>
      <c r="L22" s="205" t="s">
        <v>232</v>
      </c>
      <c r="M22" s="209">
        <v>0</v>
      </c>
      <c r="N22" s="209"/>
      <c r="O22" s="210"/>
    </row>
    <row r="23" spans="1:18">
      <c r="A23" s="1">
        <f>A$17^2</f>
        <v>0.25</v>
      </c>
      <c r="B23" s="24" t="s">
        <v>233</v>
      </c>
      <c r="C23" s="2">
        <v>-80.180000000000007</v>
      </c>
      <c r="D23" s="2">
        <v>-125.70625</v>
      </c>
      <c r="F23" s="94"/>
    </row>
    <row r="24" spans="1:18">
      <c r="A24" s="1"/>
      <c r="B24" s="24"/>
    </row>
    <row r="26" spans="1:18">
      <c r="E26" s="124">
        <v>26.033999999999999</v>
      </c>
      <c r="F26" s="2">
        <v>0.26269999999999999</v>
      </c>
      <c r="G26" s="2">
        <v>6.8356000000000003</v>
      </c>
      <c r="H26" s="2">
        <v>0</v>
      </c>
      <c r="I26" s="2">
        <v>0</v>
      </c>
      <c r="J26" s="2">
        <v>0</v>
      </c>
      <c r="K26" s="2">
        <v>1.59297</v>
      </c>
      <c r="L26" s="2">
        <v>-4.4400000000000004E-3</v>
      </c>
      <c r="M26" s="2">
        <v>-0.52103999999999995</v>
      </c>
      <c r="N26" s="2">
        <v>-125.70625</v>
      </c>
      <c r="R26" s="2">
        <v>0</v>
      </c>
    </row>
    <row r="27" spans="1:18" s="212" customFormat="1"/>
    <row r="30" spans="1:18" s="125" customFormat="1">
      <c r="D30" s="2" t="s">
        <v>234</v>
      </c>
    </row>
    <row r="31" spans="1:18">
      <c r="A31" s="200"/>
      <c r="D31">
        <v>2</v>
      </c>
      <c r="E31">
        <v>7.5</v>
      </c>
      <c r="F31">
        <v>0.999</v>
      </c>
    </row>
    <row r="32" spans="1:18">
      <c r="D32">
        <v>2</v>
      </c>
      <c r="E32">
        <v>7</v>
      </c>
      <c r="F32">
        <v>0.98899999999999999</v>
      </c>
    </row>
    <row r="33" spans="4:6">
      <c r="D33">
        <v>7</v>
      </c>
      <c r="E33">
        <v>6.5</v>
      </c>
      <c r="F33">
        <v>0.97699999999999998</v>
      </c>
    </row>
    <row r="34" spans="4:6">
      <c r="D34">
        <v>2</v>
      </c>
      <c r="E34">
        <v>6.5</v>
      </c>
      <c r="F34">
        <v>0.999</v>
      </c>
    </row>
    <row r="35" spans="4:6">
      <c r="D35">
        <v>10</v>
      </c>
      <c r="E35">
        <v>7.5</v>
      </c>
      <c r="F35">
        <v>0.98299999999999998</v>
      </c>
    </row>
    <row r="36" spans="4:6">
      <c r="D36">
        <v>15</v>
      </c>
      <c r="E36">
        <v>7.5</v>
      </c>
      <c r="F36">
        <v>0.999</v>
      </c>
    </row>
    <row r="37" spans="4:6">
      <c r="D37">
        <v>2</v>
      </c>
      <c r="E37">
        <v>7.5</v>
      </c>
      <c r="F37">
        <v>0.98899999999999999</v>
      </c>
    </row>
    <row r="38" spans="4:6">
      <c r="D38">
        <v>25</v>
      </c>
      <c r="E38">
        <v>7.5</v>
      </c>
      <c r="F38">
        <v>0.97699999999999998</v>
      </c>
    </row>
    <row r="39" spans="4:6">
      <c r="D39">
        <v>10</v>
      </c>
      <c r="E39">
        <v>4.9000000000000004</v>
      </c>
      <c r="F39">
        <v>0.98599999999999999</v>
      </c>
    </row>
    <row r="40" spans="4:6">
      <c r="D40">
        <v>10</v>
      </c>
      <c r="E40">
        <v>7</v>
      </c>
      <c r="F40">
        <v>0.97399999999999998</v>
      </c>
    </row>
    <row r="41" spans="4:6">
      <c r="D41">
        <v>20</v>
      </c>
      <c r="E41">
        <v>4.5999999999999996</v>
      </c>
      <c r="F41">
        <v>0.999</v>
      </c>
    </row>
    <row r="42" spans="4:6">
      <c r="D42">
        <v>20</v>
      </c>
      <c r="E42">
        <v>4.5999999999999996</v>
      </c>
      <c r="F42">
        <v>0.98599999999999999</v>
      </c>
    </row>
    <row r="43" spans="4:6">
      <c r="D43">
        <v>20</v>
      </c>
      <c r="E43">
        <v>4.9000000000000004</v>
      </c>
      <c r="F43">
        <v>0.98</v>
      </c>
    </row>
    <row r="44" spans="4:6">
      <c r="D44">
        <v>20</v>
      </c>
      <c r="E44">
        <v>7</v>
      </c>
      <c r="F44">
        <v>0.97399999999999998</v>
      </c>
    </row>
    <row r="45" spans="4:6">
      <c r="D45">
        <v>5</v>
      </c>
      <c r="E45">
        <v>4.7</v>
      </c>
      <c r="F45">
        <v>0.999</v>
      </c>
    </row>
    <row r="46" spans="4:6">
      <c r="D46">
        <v>5</v>
      </c>
      <c r="E46">
        <v>4.9000000000000004</v>
      </c>
      <c r="F46">
        <v>0.99199999999999999</v>
      </c>
    </row>
    <row r="47" spans="4:6">
      <c r="D47">
        <v>5</v>
      </c>
      <c r="E47">
        <v>7</v>
      </c>
      <c r="F47">
        <v>0.98</v>
      </c>
    </row>
    <row r="48" spans="4:6">
      <c r="D48">
        <v>3</v>
      </c>
      <c r="E48">
        <v>5.2</v>
      </c>
      <c r="F48">
        <v>0.999</v>
      </c>
    </row>
    <row r="49" spans="4:6">
      <c r="D49">
        <v>5</v>
      </c>
      <c r="E49">
        <v>5.5</v>
      </c>
      <c r="F49">
        <v>0.98</v>
      </c>
    </row>
    <row r="50" spans="4:6">
      <c r="D50">
        <v>10</v>
      </c>
      <c r="E50">
        <v>4.7</v>
      </c>
      <c r="F50">
        <v>0.99199999999999999</v>
      </c>
    </row>
    <row r="51" spans="4:6">
      <c r="D51">
        <v>25</v>
      </c>
      <c r="E51">
        <v>5.5</v>
      </c>
      <c r="F51">
        <v>0.97699999999999998</v>
      </c>
    </row>
    <row r="52" spans="4:6">
      <c r="D52">
        <v>25</v>
      </c>
      <c r="E52">
        <v>5.5</v>
      </c>
      <c r="F52">
        <v>0.999</v>
      </c>
    </row>
    <row r="53" spans="4:6">
      <c r="D53">
        <v>25</v>
      </c>
      <c r="E53">
        <v>7.2</v>
      </c>
      <c r="F53">
        <v>0.999</v>
      </c>
    </row>
    <row r="54" spans="4:6">
      <c r="D54">
        <v>20</v>
      </c>
      <c r="E54">
        <v>5.5</v>
      </c>
      <c r="F54">
        <v>0.999</v>
      </c>
    </row>
    <row r="55" spans="4:6">
      <c r="D55">
        <v>20</v>
      </c>
      <c r="E55">
        <v>7</v>
      </c>
      <c r="F55">
        <v>0.999</v>
      </c>
    </row>
    <row r="56" spans="4:6">
      <c r="D56">
        <v>4</v>
      </c>
      <c r="E56">
        <v>5.5</v>
      </c>
      <c r="F56">
        <v>0.999</v>
      </c>
    </row>
    <row r="57" spans="4:6">
      <c r="D57">
        <v>25</v>
      </c>
      <c r="E57">
        <v>6</v>
      </c>
      <c r="F57">
        <v>0.999</v>
      </c>
    </row>
    <row r="58" spans="4:6">
      <c r="D58">
        <v>2</v>
      </c>
      <c r="E58">
        <v>6</v>
      </c>
      <c r="F58">
        <v>0.999</v>
      </c>
    </row>
    <row r="59" spans="4:6">
      <c r="D59"/>
      <c r="E59"/>
      <c r="F59"/>
    </row>
    <row r="60" spans="4:6">
      <c r="D60" s="2" t="s">
        <v>235</v>
      </c>
    </row>
    <row r="61" spans="4:6">
      <c r="D61" s="211">
        <v>37</v>
      </c>
      <c r="E61" s="211">
        <v>7.5</v>
      </c>
      <c r="F61" s="211">
        <v>0.97699999999999998</v>
      </c>
    </row>
    <row r="62" spans="4:6">
      <c r="D62" s="211">
        <v>37</v>
      </c>
      <c r="E62" s="211">
        <v>4.5999999999999996</v>
      </c>
      <c r="F62" s="211">
        <v>0.98599999999999999</v>
      </c>
    </row>
    <row r="63" spans="4:6">
      <c r="D63" s="211">
        <v>37</v>
      </c>
      <c r="E63" s="211">
        <v>4.5999999999999996</v>
      </c>
      <c r="F63" s="211">
        <v>0.999</v>
      </c>
    </row>
    <row r="64" spans="4:6">
      <c r="D64" s="211">
        <v>37</v>
      </c>
      <c r="E64" s="211">
        <v>4.9000000000000004</v>
      </c>
      <c r="F64" s="211">
        <v>0.98</v>
      </c>
    </row>
    <row r="65" spans="4:6">
      <c r="D65" s="211">
        <v>37</v>
      </c>
      <c r="E65" s="211">
        <v>7</v>
      </c>
      <c r="F65" s="211">
        <v>0.97399999999999998</v>
      </c>
    </row>
    <row r="66" spans="4:6">
      <c r="D66" s="211">
        <v>37</v>
      </c>
      <c r="E66" s="211">
        <v>5.5</v>
      </c>
      <c r="F66" s="211">
        <v>0.97699999999999998</v>
      </c>
    </row>
    <row r="67" spans="4:6">
      <c r="D67" s="211">
        <v>2</v>
      </c>
      <c r="E67" s="211">
        <v>7.5</v>
      </c>
      <c r="F67" s="211">
        <v>0.999</v>
      </c>
    </row>
    <row r="68" spans="4:6">
      <c r="D68" s="211">
        <v>10</v>
      </c>
      <c r="E68" s="211">
        <v>7</v>
      </c>
      <c r="F68" s="211">
        <v>0.97399999999999998</v>
      </c>
    </row>
    <row r="69" spans="4:6">
      <c r="D69" s="211">
        <v>20</v>
      </c>
      <c r="E69" s="211">
        <v>4.9000000000000004</v>
      </c>
      <c r="F69" s="211">
        <v>0.98</v>
      </c>
    </row>
    <row r="70" spans="4:6">
      <c r="D70" s="211">
        <v>25</v>
      </c>
      <c r="E70" s="211">
        <v>4.5</v>
      </c>
      <c r="F70" s="211">
        <v>0.98899999999999999</v>
      </c>
    </row>
    <row r="71" spans="4:6">
      <c r="D71" s="211">
        <v>20</v>
      </c>
      <c r="E71" s="211">
        <v>5</v>
      </c>
      <c r="F71" s="211">
        <v>0.999</v>
      </c>
    </row>
    <row r="72" spans="4:6">
      <c r="D72" s="211">
        <v>0</v>
      </c>
      <c r="E72" s="211">
        <v>7</v>
      </c>
      <c r="F72" s="211">
        <v>0.99199999999999999</v>
      </c>
    </row>
    <row r="73" spans="4:6">
      <c r="D73" s="211">
        <v>0</v>
      </c>
      <c r="E73" s="211">
        <v>7.6</v>
      </c>
      <c r="F73" s="211">
        <v>0.99399999999999999</v>
      </c>
    </row>
    <row r="74" spans="4:6">
      <c r="D74" s="211">
        <v>20</v>
      </c>
      <c r="E74" s="211">
        <v>7.6</v>
      </c>
      <c r="F74" s="211">
        <v>0.97399999999999998</v>
      </c>
    </row>
    <row r="75" spans="4:6">
      <c r="D75" s="211">
        <v>37</v>
      </c>
      <c r="E75" s="211">
        <v>5.5</v>
      </c>
      <c r="F75" s="211">
        <v>0.999</v>
      </c>
    </row>
    <row r="76" spans="4:6">
      <c r="D76" s="211">
        <v>4</v>
      </c>
      <c r="E76" s="211">
        <v>7.7</v>
      </c>
      <c r="F76" s="211">
        <v>0.999</v>
      </c>
    </row>
    <row r="77" spans="4:6">
      <c r="D77" s="211">
        <v>4</v>
      </c>
      <c r="E77" s="211">
        <v>7.7</v>
      </c>
      <c r="F77" s="211">
        <v>0.98299999999999998</v>
      </c>
    </row>
    <row r="78" spans="4:6">
      <c r="D78" s="211">
        <v>37</v>
      </c>
      <c r="E78" s="211">
        <v>7.7</v>
      </c>
      <c r="F78" s="211">
        <v>0.999</v>
      </c>
    </row>
    <row r="79" spans="4:6">
      <c r="D79" s="211">
        <v>37</v>
      </c>
      <c r="E79" s="211">
        <v>7.7</v>
      </c>
      <c r="F79" s="211">
        <v>0.98299999999999998</v>
      </c>
    </row>
    <row r="80" spans="4:6">
      <c r="D80" s="211">
        <v>4</v>
      </c>
      <c r="E80" s="211">
        <v>5.5</v>
      </c>
      <c r="F80" s="211">
        <v>0.98299999999999998</v>
      </c>
    </row>
    <row r="81" spans="4:6">
      <c r="D81" s="211">
        <v>4</v>
      </c>
      <c r="E81" s="211">
        <v>5.5</v>
      </c>
      <c r="F81" s="211">
        <v>0.999</v>
      </c>
    </row>
    <row r="82" spans="4:6">
      <c r="D82" s="211">
        <v>10</v>
      </c>
      <c r="E82" s="211">
        <v>4.9000000000000004</v>
      </c>
      <c r="F82" s="211">
        <v>0.98599999999999999</v>
      </c>
    </row>
    <row r="83" spans="4:6">
      <c r="D83" s="211">
        <v>20</v>
      </c>
      <c r="E83" s="211">
        <v>4.5999999999999996</v>
      </c>
      <c r="F83" s="211">
        <v>0.999</v>
      </c>
    </row>
    <row r="84" spans="4:6">
      <c r="D84" s="211">
        <v>20</v>
      </c>
      <c r="E84" s="211">
        <v>4.5999999999999996</v>
      </c>
      <c r="F84" s="211">
        <v>0.98599999999999999</v>
      </c>
    </row>
    <row r="85" spans="4:6">
      <c r="D85" s="211">
        <v>5</v>
      </c>
      <c r="E85" s="211">
        <v>4.7</v>
      </c>
      <c r="F85" s="211">
        <v>0.999</v>
      </c>
    </row>
    <row r="86" spans="4:6">
      <c r="D86" s="211">
        <v>5</v>
      </c>
      <c r="E86" s="211">
        <v>5.5</v>
      </c>
      <c r="F86" s="211">
        <v>0.98</v>
      </c>
    </row>
    <row r="87" spans="4:6">
      <c r="D87" s="211">
        <v>-1.5</v>
      </c>
      <c r="E87" s="211">
        <v>6.1</v>
      </c>
      <c r="F87" s="211">
        <v>0.999</v>
      </c>
    </row>
    <row r="88" spans="4:6">
      <c r="D88" s="211">
        <v>5</v>
      </c>
      <c r="E88" s="211">
        <v>6.4</v>
      </c>
      <c r="F88" s="211">
        <v>0.97399999999999998</v>
      </c>
    </row>
    <row r="89" spans="4:6">
      <c r="D89" s="211"/>
      <c r="E89" s="211"/>
      <c r="F89" s="211"/>
    </row>
    <row r="90" spans="4:6">
      <c r="D90" s="2" t="s">
        <v>236</v>
      </c>
    </row>
    <row r="91" spans="4:6">
      <c r="D91">
        <v>10</v>
      </c>
      <c r="E91">
        <v>7.5</v>
      </c>
      <c r="F91">
        <v>0.95699999999999996</v>
      </c>
    </row>
    <row r="92" spans="4:6">
      <c r="D92">
        <v>-5</v>
      </c>
      <c r="E92">
        <v>4</v>
      </c>
      <c r="F92">
        <v>1</v>
      </c>
    </row>
    <row r="93" spans="4:6">
      <c r="D93">
        <v>-5</v>
      </c>
      <c r="E93">
        <v>11</v>
      </c>
      <c r="F93">
        <v>1</v>
      </c>
    </row>
    <row r="94" spans="4:6">
      <c r="D94">
        <v>50</v>
      </c>
      <c r="E94">
        <v>4</v>
      </c>
      <c r="F94">
        <v>1</v>
      </c>
    </row>
    <row r="95" spans="4:6">
      <c r="D95">
        <v>50</v>
      </c>
      <c r="E95">
        <v>4</v>
      </c>
      <c r="F95">
        <v>0.9</v>
      </c>
    </row>
    <row r="96" spans="4:6">
      <c r="D96">
        <v>50</v>
      </c>
      <c r="E96">
        <v>11</v>
      </c>
      <c r="F96">
        <v>1</v>
      </c>
    </row>
    <row r="97" spans="4:6">
      <c r="D97">
        <v>50</v>
      </c>
      <c r="E97">
        <v>11</v>
      </c>
      <c r="F97">
        <v>0.9</v>
      </c>
    </row>
    <row r="99" spans="4:6">
      <c r="D99" s="2" t="s">
        <v>237</v>
      </c>
    </row>
    <row r="100" spans="4:6">
      <c r="D100">
        <v>2</v>
      </c>
      <c r="E100">
        <v>7.5</v>
      </c>
      <c r="F100">
        <v>0.999</v>
      </c>
    </row>
    <row r="101" spans="4:6">
      <c r="D101">
        <v>30</v>
      </c>
      <c r="E101">
        <v>7.5</v>
      </c>
      <c r="F101">
        <v>0.995</v>
      </c>
    </row>
    <row r="102" spans="4:6">
      <c r="D102">
        <v>30</v>
      </c>
      <c r="E102">
        <v>7.5</v>
      </c>
      <c r="F102">
        <v>0.97099999999999997</v>
      </c>
    </row>
    <row r="103" spans="4:6">
      <c r="D103">
        <v>2</v>
      </c>
      <c r="E103">
        <v>4.5</v>
      </c>
      <c r="F103">
        <v>0.999</v>
      </c>
    </row>
    <row r="104" spans="4:6">
      <c r="D104">
        <v>30</v>
      </c>
      <c r="E104">
        <v>4.5</v>
      </c>
      <c r="F104">
        <v>0.999</v>
      </c>
    </row>
    <row r="105" spans="4:6">
      <c r="D105">
        <v>30</v>
      </c>
      <c r="E105">
        <v>4.5</v>
      </c>
      <c r="F105">
        <v>0.97099999999999997</v>
      </c>
    </row>
    <row r="106" spans="4:6">
      <c r="D106">
        <v>2</v>
      </c>
      <c r="E106">
        <v>4.5</v>
      </c>
      <c r="F106">
        <v>0.97099999999999997</v>
      </c>
    </row>
    <row r="107" spans="4:6">
      <c r="D107">
        <v>25</v>
      </c>
      <c r="E107">
        <v>7.5</v>
      </c>
      <c r="F107">
        <v>0.999</v>
      </c>
    </row>
    <row r="108" spans="4:6">
      <c r="D108">
        <v>2</v>
      </c>
      <c r="E108">
        <v>7.5</v>
      </c>
      <c r="F108">
        <v>0.97099999999999997</v>
      </c>
    </row>
    <row r="109" spans="4:6">
      <c r="D109">
        <v>0</v>
      </c>
      <c r="E109">
        <v>7</v>
      </c>
      <c r="F109">
        <v>0.99199999999999999</v>
      </c>
    </row>
    <row r="110" spans="4:6">
      <c r="D110">
        <v>37</v>
      </c>
      <c r="E110">
        <v>5.5</v>
      </c>
      <c r="F110">
        <v>0.999</v>
      </c>
    </row>
    <row r="111" spans="4:6">
      <c r="D111">
        <v>37</v>
      </c>
      <c r="E111">
        <v>5.5</v>
      </c>
      <c r="F111">
        <v>0.98299999999999998</v>
      </c>
    </row>
    <row r="112" spans="4:6">
      <c r="D112">
        <v>37</v>
      </c>
      <c r="E112">
        <v>7</v>
      </c>
      <c r="F112">
        <v>0.999</v>
      </c>
    </row>
    <row r="113" spans="4:6">
      <c r="D113">
        <v>37</v>
      </c>
      <c r="E113">
        <v>7</v>
      </c>
      <c r="F113">
        <v>0.98299999999999998</v>
      </c>
    </row>
    <row r="114" spans="4:6">
      <c r="D114">
        <v>37</v>
      </c>
      <c r="E114">
        <v>7.3</v>
      </c>
      <c r="F114">
        <v>0.999</v>
      </c>
    </row>
    <row r="115" spans="4:6">
      <c r="D115">
        <v>-1.5</v>
      </c>
      <c r="E115">
        <v>6.1</v>
      </c>
      <c r="F115">
        <v>0.999</v>
      </c>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85"/>
  <sheetViews>
    <sheetView workbookViewId="0">
      <selection activeCell="D17" sqref="D17"/>
    </sheetView>
  </sheetViews>
  <sheetFormatPr defaultColWidth="8.875" defaultRowHeight="12.75"/>
  <cols>
    <col min="1" max="1" width="8.375" style="275" customWidth="1"/>
    <col min="2" max="2" width="11.5" style="275" customWidth="1"/>
    <col min="3" max="3" width="8.875" style="275" customWidth="1"/>
    <col min="4" max="4" width="7.25" style="275" customWidth="1"/>
    <col min="5" max="5" width="6.875" style="275" customWidth="1"/>
    <col min="6" max="6" width="7.375" style="275" customWidth="1"/>
    <col min="7" max="7" width="6.5" style="275" customWidth="1"/>
    <col min="8" max="8" width="6.625" style="275" customWidth="1"/>
    <col min="9" max="9" width="5.5" style="275" customWidth="1"/>
    <col min="10" max="10" width="6.125" style="275" customWidth="1"/>
    <col min="11" max="14" width="6.5" style="275" customWidth="1"/>
    <col min="15" max="15" width="6.75" style="275" customWidth="1"/>
    <col min="16" max="16384" width="8.875" style="275"/>
  </cols>
  <sheetData>
    <row r="1" spans="1:15" ht="13.5" thickBot="1">
      <c r="A1" s="313" t="s">
        <v>121</v>
      </c>
    </row>
    <row r="2" spans="1:15" s="279" customFormat="1">
      <c r="A2" s="312"/>
      <c r="B2" s="306" t="s">
        <v>31</v>
      </c>
      <c r="C2" s="311" t="s">
        <v>286</v>
      </c>
      <c r="D2" s="297" t="s">
        <v>33</v>
      </c>
      <c r="E2" s="297" t="s">
        <v>34</v>
      </c>
      <c r="F2" s="297" t="s">
        <v>71</v>
      </c>
      <c r="G2" s="297" t="s">
        <v>36</v>
      </c>
      <c r="H2" s="297" t="s">
        <v>37</v>
      </c>
      <c r="I2" s="297" t="s">
        <v>38</v>
      </c>
      <c r="J2" s="297" t="s">
        <v>39</v>
      </c>
      <c r="K2" s="297" t="s">
        <v>40</v>
      </c>
      <c r="L2" s="297" t="s">
        <v>41</v>
      </c>
      <c r="M2" s="297" t="s">
        <v>42</v>
      </c>
      <c r="N2" s="297" t="s">
        <v>43</v>
      </c>
      <c r="O2" s="305" t="s">
        <v>44</v>
      </c>
    </row>
    <row r="3" spans="1:15">
      <c r="A3" s="295" t="s">
        <v>200</v>
      </c>
      <c r="B3" s="294">
        <v>3</v>
      </c>
      <c r="C3" s="310">
        <f>EXP(-3.1)</f>
        <v>4.5049202393557801E-2</v>
      </c>
      <c r="D3" s="291">
        <v>20</v>
      </c>
      <c r="E3" s="291">
        <v>7.8</v>
      </c>
      <c r="F3" s="294" t="s">
        <v>201</v>
      </c>
      <c r="G3" s="291">
        <v>0.5</v>
      </c>
      <c r="H3" s="291"/>
      <c r="I3" s="291"/>
      <c r="J3" s="291"/>
      <c r="K3" s="291"/>
      <c r="L3" s="291"/>
      <c r="M3" s="291"/>
      <c r="N3" s="291"/>
      <c r="O3" s="290"/>
    </row>
    <row r="4" spans="1:15">
      <c r="A4" s="295" t="s">
        <v>202</v>
      </c>
      <c r="B4" s="291"/>
      <c r="C4" s="309"/>
      <c r="D4" s="291">
        <v>10</v>
      </c>
      <c r="E4" s="291">
        <v>7.6</v>
      </c>
      <c r="F4" s="291"/>
      <c r="G4" s="291">
        <v>0</v>
      </c>
      <c r="H4" s="291"/>
      <c r="I4" s="291"/>
      <c r="J4" s="291"/>
      <c r="K4" s="291"/>
      <c r="L4" s="291"/>
      <c r="M4" s="291"/>
      <c r="N4" s="291"/>
      <c r="O4" s="290"/>
    </row>
    <row r="5" spans="1:15" ht="13.5" thickBot="1">
      <c r="A5" s="289" t="s">
        <v>203</v>
      </c>
      <c r="B5" s="284"/>
      <c r="C5" s="303"/>
      <c r="D5" s="284">
        <v>42</v>
      </c>
      <c r="E5" s="284">
        <v>8</v>
      </c>
      <c r="F5" s="284"/>
      <c r="G5" s="284">
        <v>1</v>
      </c>
      <c r="H5" s="284"/>
      <c r="I5" s="284"/>
      <c r="J5" s="284"/>
      <c r="K5" s="284"/>
      <c r="L5" s="284"/>
      <c r="M5" s="284"/>
      <c r="N5" s="284"/>
      <c r="O5" s="283"/>
    </row>
    <row r="6" spans="1:15" ht="13.5" thickBot="1">
      <c r="A6" s="276"/>
      <c r="C6" s="308"/>
    </row>
    <row r="7" spans="1:15">
      <c r="A7" s="301"/>
      <c r="B7" s="306" t="s">
        <v>204</v>
      </c>
      <c r="C7" s="307"/>
      <c r="D7" s="306" t="s">
        <v>45</v>
      </c>
      <c r="E7" s="306" t="s">
        <v>46</v>
      </c>
      <c r="F7" s="306" t="s">
        <v>47</v>
      </c>
      <c r="G7" s="306" t="s">
        <v>48</v>
      </c>
      <c r="H7" s="297" t="s">
        <v>49</v>
      </c>
      <c r="I7" s="297" t="s">
        <v>50</v>
      </c>
      <c r="J7" s="297" t="s">
        <v>51</v>
      </c>
      <c r="K7" s="297" t="s">
        <v>52</v>
      </c>
      <c r="L7" s="297" t="s">
        <v>53</v>
      </c>
      <c r="M7" s="297" t="s">
        <v>205</v>
      </c>
      <c r="N7" s="297" t="s">
        <v>206</v>
      </c>
      <c r="O7" s="305" t="s">
        <v>207</v>
      </c>
    </row>
    <row r="8" spans="1:15" ht="13.5" thickBot="1">
      <c r="A8" s="289" t="s">
        <v>238</v>
      </c>
      <c r="B8" s="304">
        <v>31010</v>
      </c>
      <c r="C8" s="303"/>
      <c r="D8" s="302" t="s">
        <v>208</v>
      </c>
      <c r="E8" s="302" t="s">
        <v>209</v>
      </c>
      <c r="F8" s="302" t="s">
        <v>210</v>
      </c>
      <c r="G8" s="302" t="s">
        <v>211</v>
      </c>
      <c r="H8" s="284" t="s">
        <v>211</v>
      </c>
      <c r="I8" s="284" t="s">
        <v>211</v>
      </c>
      <c r="J8" s="284" t="s">
        <v>211</v>
      </c>
      <c r="K8" s="284" t="s">
        <v>211</v>
      </c>
      <c r="L8" s="284" t="s">
        <v>211</v>
      </c>
      <c r="M8" s="284" t="s">
        <v>211</v>
      </c>
      <c r="N8" s="284" t="s">
        <v>211</v>
      </c>
      <c r="O8" s="283" t="s">
        <v>211</v>
      </c>
    </row>
    <row r="9" spans="1:15" ht="13.5" thickBot="1"/>
    <row r="10" spans="1:15">
      <c r="A10" s="301"/>
      <c r="B10" s="300" t="s">
        <v>285</v>
      </c>
      <c r="C10" s="297"/>
      <c r="D10" s="297"/>
      <c r="E10" s="299"/>
      <c r="F10" s="299"/>
      <c r="G10" s="298"/>
      <c r="H10" s="297" t="s">
        <v>284</v>
      </c>
      <c r="I10" s="296"/>
    </row>
    <row r="11" spans="1:15">
      <c r="A11" s="295" t="s">
        <v>215</v>
      </c>
      <c r="B11" s="294">
        <v>0.4</v>
      </c>
      <c r="C11" s="293"/>
      <c r="D11" s="291"/>
      <c r="E11" s="291"/>
      <c r="F11" s="291"/>
      <c r="G11" s="292"/>
      <c r="H11" s="291"/>
      <c r="I11" s="290"/>
    </row>
    <row r="12" spans="1:15" ht="13.5" thickBot="1">
      <c r="A12" s="289" t="s">
        <v>239</v>
      </c>
      <c r="B12" s="288" t="str">
        <f>" =EXP("&amp;B14&amp;"*("&amp;C14&amp;")+"&amp;B15&amp;"*("&amp;C15&amp;")+"&amp;B16&amp;"*("&amp;C16&amp;")+"&amp;B17&amp;"*("&amp;C17&amp;")+"&amp;B18&amp;"*("&amp;C18&amp;")+"&amp;B19&amp;"*("&amp;C19&amp;")+"&amp;B20&amp;"*("&amp;C20&amp;")+"&amp;B21&amp;"*("&amp;C21&amp;")+"&amp;B22&amp;"*("&amp;C22&amp;")+"&amp;B23&amp;"*("&amp;C23&amp;"))"</f>
        <v xml:space="preserve"> =EXP(1*(-3.3756)+tr*(0.0768)+pr*(0)+bw*(0)+tr*pr*(0)+tr*bw*(0)+pr*bw*(0)+tr^2*(0)+pr^2*(0)+bw^2*(0))</v>
      </c>
      <c r="C12" s="287"/>
      <c r="D12" s="286"/>
      <c r="E12" s="287"/>
      <c r="F12" s="286"/>
      <c r="G12" s="285"/>
      <c r="H12" s="284">
        <v>8.5</v>
      </c>
      <c r="I12" s="283"/>
    </row>
    <row r="14" spans="1:15">
      <c r="A14" s="280">
        <v>1</v>
      </c>
      <c r="B14" s="279">
        <v>1</v>
      </c>
      <c r="C14" s="278">
        <v>-3.3755999999999999</v>
      </c>
      <c r="E14" s="84"/>
    </row>
    <row r="15" spans="1:15">
      <c r="A15" s="280">
        <v>20</v>
      </c>
      <c r="B15" s="279" t="s">
        <v>45</v>
      </c>
      <c r="C15" s="278">
        <v>7.6799999999999993E-2</v>
      </c>
      <c r="E15" s="84"/>
    </row>
    <row r="16" spans="1:15">
      <c r="A16" s="280">
        <v>7</v>
      </c>
      <c r="B16" s="279" t="s">
        <v>46</v>
      </c>
      <c r="C16" s="278">
        <v>0</v>
      </c>
      <c r="E16" s="84"/>
    </row>
    <row r="17" spans="1:6">
      <c r="A17" s="280">
        <v>0.5</v>
      </c>
      <c r="B17" s="279" t="s">
        <v>47</v>
      </c>
      <c r="C17" s="278">
        <v>0</v>
      </c>
      <c r="E17" s="84"/>
    </row>
    <row r="18" spans="1:6">
      <c r="A18" s="280">
        <f>A$15*A$16</f>
        <v>140</v>
      </c>
      <c r="B18" s="279" t="s">
        <v>222</v>
      </c>
      <c r="C18" s="278">
        <v>0</v>
      </c>
      <c r="E18" s="84"/>
    </row>
    <row r="19" spans="1:6">
      <c r="A19" s="280">
        <f>A$15*A$17</f>
        <v>10</v>
      </c>
      <c r="B19" s="279" t="s">
        <v>225</v>
      </c>
      <c r="C19" s="278">
        <v>0</v>
      </c>
      <c r="E19" s="84"/>
    </row>
    <row r="20" spans="1:6">
      <c r="A20" s="280">
        <f>A$16*A$17</f>
        <v>3.5</v>
      </c>
      <c r="B20" s="279" t="s">
        <v>227</v>
      </c>
      <c r="C20" s="278">
        <v>0</v>
      </c>
      <c r="E20" s="84"/>
    </row>
    <row r="21" spans="1:6">
      <c r="A21" s="280">
        <f>A$15^2</f>
        <v>400</v>
      </c>
      <c r="B21" s="279" t="s">
        <v>229</v>
      </c>
      <c r="C21" s="278">
        <v>0</v>
      </c>
      <c r="E21" s="84"/>
    </row>
    <row r="22" spans="1:6">
      <c r="A22" s="280">
        <f>A$16^2</f>
        <v>49</v>
      </c>
      <c r="B22" s="279" t="s">
        <v>231</v>
      </c>
      <c r="C22" s="278">
        <v>0</v>
      </c>
      <c r="E22" s="84"/>
    </row>
    <row r="23" spans="1:6">
      <c r="A23" s="280">
        <f>A$17^2</f>
        <v>0.25</v>
      </c>
      <c r="B23" s="279" t="s">
        <v>233</v>
      </c>
      <c r="C23" s="278">
        <v>0</v>
      </c>
      <c r="E23" s="84"/>
    </row>
    <row r="24" spans="1:6">
      <c r="A24" s="280"/>
      <c r="B24" s="279"/>
      <c r="C24" s="278"/>
    </row>
    <row r="25" spans="1:6">
      <c r="A25" s="280"/>
      <c r="C25" s="282"/>
    </row>
    <row r="26" spans="1:6">
      <c r="A26" s="280"/>
    </row>
    <row r="27" spans="1:6">
      <c r="A27" s="280"/>
      <c r="C27" s="281"/>
    </row>
    <row r="28" spans="1:6">
      <c r="A28" s="280"/>
      <c r="B28" s="279"/>
      <c r="C28" s="278"/>
    </row>
    <row r="30" spans="1:6">
      <c r="D30" s="277" t="s">
        <v>234</v>
      </c>
    </row>
    <row r="31" spans="1:6">
      <c r="D31" s="276">
        <v>10</v>
      </c>
      <c r="E31" s="276">
        <v>7.6</v>
      </c>
      <c r="F31" s="276">
        <f>1-1*(5.2471+0.12206*1)/1000</f>
        <v>0.99463084000000002</v>
      </c>
    </row>
    <row r="32" spans="1:6">
      <c r="D32" s="276">
        <v>10</v>
      </c>
      <c r="E32" s="276">
        <v>7.6</v>
      </c>
      <c r="F32" s="276">
        <v>1</v>
      </c>
    </row>
    <row r="33" spans="4:6">
      <c r="D33" s="276">
        <v>10</v>
      </c>
      <c r="E33" s="276">
        <v>8</v>
      </c>
      <c r="F33" s="276">
        <f>1-1*(5.2471+0.12206*1)/1000</f>
        <v>0.99463084000000002</v>
      </c>
    </row>
    <row r="34" spans="4:6">
      <c r="D34" s="276">
        <v>10</v>
      </c>
      <c r="E34" s="276">
        <v>8</v>
      </c>
      <c r="F34" s="276">
        <v>1</v>
      </c>
    </row>
    <row r="35" spans="4:6">
      <c r="D35" s="276">
        <v>42</v>
      </c>
      <c r="E35" s="276">
        <v>7.6</v>
      </c>
      <c r="F35" s="276">
        <f>1-1*(5.2471+0.12206*1)/1000</f>
        <v>0.99463084000000002</v>
      </c>
    </row>
    <row r="36" spans="4:6">
      <c r="D36" s="276">
        <v>42</v>
      </c>
      <c r="E36" s="276">
        <v>7.6</v>
      </c>
      <c r="F36" s="276">
        <v>1</v>
      </c>
    </row>
    <row r="37" spans="4:6">
      <c r="D37" s="276">
        <v>42</v>
      </c>
      <c r="E37" s="276">
        <v>8</v>
      </c>
      <c r="F37" s="276">
        <f>1-1*(5.2471+0.12206*1)/1000</f>
        <v>0.99463084000000002</v>
      </c>
    </row>
    <row r="38" spans="4:6">
      <c r="D38" s="276">
        <v>42</v>
      </c>
      <c r="E38" s="276">
        <v>8</v>
      </c>
      <c r="F38" s="276">
        <v>1</v>
      </c>
    </row>
    <row r="39" spans="4:6">
      <c r="D39" s="276"/>
      <c r="E39" s="276"/>
      <c r="F39" s="276"/>
    </row>
    <row r="40" spans="4:6">
      <c r="D40" s="276"/>
      <c r="E40" s="276"/>
      <c r="F40" s="276"/>
    </row>
    <row r="41" spans="4:6">
      <c r="D41" s="276"/>
      <c r="E41" s="276"/>
      <c r="F41" s="276"/>
    </row>
    <row r="42" spans="4:6">
      <c r="D42" s="276"/>
      <c r="E42" s="276"/>
      <c r="F42" s="276"/>
    </row>
    <row r="43" spans="4:6">
      <c r="D43" s="276"/>
      <c r="E43" s="276"/>
      <c r="F43" s="276"/>
    </row>
    <row r="44" spans="4:6">
      <c r="D44" s="276"/>
      <c r="E44" s="276"/>
      <c r="F44" s="276"/>
    </row>
    <row r="45" spans="4:6">
      <c r="D45" s="276"/>
      <c r="E45" s="276"/>
      <c r="F45" s="276"/>
    </row>
    <row r="46" spans="4:6">
      <c r="D46" s="276"/>
      <c r="E46" s="276"/>
      <c r="F46" s="276"/>
    </row>
    <row r="47" spans="4:6">
      <c r="D47" s="276"/>
      <c r="E47" s="276"/>
      <c r="F47" s="276"/>
    </row>
    <row r="48" spans="4:6">
      <c r="D48" s="276"/>
      <c r="E48" s="276"/>
      <c r="F48" s="276"/>
    </row>
    <row r="49" spans="4:6">
      <c r="D49" s="276"/>
      <c r="E49" s="276"/>
      <c r="F49" s="276"/>
    </row>
    <row r="50" spans="4:6">
      <c r="D50" s="276"/>
      <c r="E50" s="276"/>
      <c r="F50" s="276"/>
    </row>
    <row r="51" spans="4:6">
      <c r="D51" s="276"/>
      <c r="E51" s="276"/>
      <c r="F51" s="276"/>
    </row>
    <row r="52" spans="4:6">
      <c r="D52" s="276"/>
      <c r="E52" s="276"/>
      <c r="F52" s="276"/>
    </row>
    <row r="53" spans="4:6">
      <c r="D53" s="276"/>
      <c r="E53" s="276"/>
      <c r="F53" s="276"/>
    </row>
    <row r="54" spans="4:6">
      <c r="D54" s="276"/>
      <c r="E54" s="276"/>
      <c r="F54" s="276"/>
    </row>
    <row r="55" spans="4:6">
      <c r="D55" s="276"/>
      <c r="E55" s="276"/>
      <c r="F55" s="276"/>
    </row>
    <row r="57" spans="4:6">
      <c r="D57" s="275" t="s">
        <v>235</v>
      </c>
    </row>
    <row r="58" spans="4:6">
      <c r="D58" s="276"/>
      <c r="E58" s="276"/>
      <c r="F58" s="276"/>
    </row>
    <row r="59" spans="4:6">
      <c r="D59" s="276"/>
      <c r="E59" s="276"/>
      <c r="F59" s="276"/>
    </row>
    <row r="60" spans="4:6">
      <c r="D60" s="276"/>
      <c r="E60" s="276"/>
      <c r="F60" s="276"/>
    </row>
    <row r="61" spans="4:6">
      <c r="D61" s="276"/>
      <c r="E61" s="276"/>
      <c r="F61" s="276"/>
    </row>
    <row r="62" spans="4:6">
      <c r="D62" s="276"/>
      <c r="E62" s="276"/>
      <c r="F62" s="276"/>
    </row>
    <row r="63" spans="4:6">
      <c r="D63" s="276"/>
      <c r="E63" s="276"/>
      <c r="F63" s="276"/>
    </row>
    <row r="64" spans="4:6">
      <c r="D64" s="276"/>
      <c r="E64" s="276"/>
      <c r="F64" s="276"/>
    </row>
    <row r="65" spans="4:6">
      <c r="D65" s="276"/>
      <c r="E65" s="276"/>
      <c r="F65" s="276"/>
    </row>
    <row r="66" spans="4:6">
      <c r="D66" s="276"/>
      <c r="E66" s="276"/>
      <c r="F66" s="276"/>
    </row>
    <row r="67" spans="4:6">
      <c r="D67" s="276"/>
      <c r="E67" s="276"/>
      <c r="F67" s="276"/>
    </row>
    <row r="68" spans="4:6">
      <c r="D68" s="276"/>
      <c r="E68" s="276"/>
      <c r="F68" s="276"/>
    </row>
    <row r="69" spans="4:6">
      <c r="D69" s="276"/>
      <c r="E69" s="276"/>
      <c r="F69" s="276"/>
    </row>
    <row r="70" spans="4:6">
      <c r="D70" s="276"/>
      <c r="E70" s="276"/>
      <c r="F70" s="276"/>
    </row>
    <row r="71" spans="4:6">
      <c r="D71" s="276"/>
      <c r="E71" s="276"/>
      <c r="F71" s="276"/>
    </row>
    <row r="72" spans="4:6">
      <c r="D72" s="276"/>
      <c r="E72" s="276"/>
      <c r="F72" s="276"/>
    </row>
    <row r="73" spans="4:6">
      <c r="D73" s="276"/>
      <c r="E73" s="276"/>
      <c r="F73" s="276"/>
    </row>
    <row r="74" spans="4:6">
      <c r="D74" s="276"/>
      <c r="E74" s="276"/>
      <c r="F74" s="276"/>
    </row>
    <row r="75" spans="4:6">
      <c r="D75" s="276"/>
      <c r="E75" s="276"/>
      <c r="F75" s="276"/>
    </row>
    <row r="76" spans="4:6">
      <c r="D76" s="276"/>
      <c r="E76" s="276"/>
      <c r="F76" s="276"/>
    </row>
    <row r="77" spans="4:6">
      <c r="D77" s="276"/>
      <c r="E77" s="276"/>
      <c r="F77" s="276"/>
    </row>
    <row r="78" spans="4:6">
      <c r="D78" s="276"/>
      <c r="E78" s="276"/>
      <c r="F78" s="276"/>
    </row>
    <row r="79" spans="4:6">
      <c r="D79" s="276"/>
      <c r="E79" s="276"/>
      <c r="F79" s="276"/>
    </row>
    <row r="80" spans="4:6">
      <c r="D80" s="276"/>
      <c r="E80" s="276"/>
      <c r="F80" s="276"/>
    </row>
    <row r="81" spans="4:6">
      <c r="D81" s="276"/>
      <c r="E81" s="276"/>
      <c r="F81" s="276"/>
    </row>
    <row r="82" spans="4:6">
      <c r="D82" s="276"/>
      <c r="E82" s="276"/>
      <c r="F82" s="276"/>
    </row>
    <row r="83" spans="4:6">
      <c r="D83" s="276"/>
      <c r="E83" s="276"/>
      <c r="F83" s="276"/>
    </row>
    <row r="85" spans="4:6">
      <c r="D85" s="275" t="s">
        <v>236</v>
      </c>
    </row>
  </sheetData>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22"/>
  <sheetViews>
    <sheetView workbookViewId="0">
      <selection activeCell="E28" sqref="E28"/>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Orgs!B3</f>
        <v>Bacillus cereus</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EXP(-7.4)</f>
        <v>6.112527611295723E-4</v>
      </c>
      <c r="D3" s="30">
        <v>20</v>
      </c>
      <c r="E3" s="30">
        <v>7</v>
      </c>
      <c r="F3" s="32" t="s">
        <v>201</v>
      </c>
      <c r="G3" s="30">
        <v>0.5</v>
      </c>
      <c r="H3" s="30"/>
      <c r="I3" s="30"/>
      <c r="J3" s="30"/>
      <c r="K3" s="30"/>
      <c r="L3" s="30"/>
      <c r="M3" s="30"/>
      <c r="N3" s="30"/>
      <c r="O3" s="33"/>
    </row>
    <row r="4" spans="1:15">
      <c r="A4" s="29" t="s">
        <v>202</v>
      </c>
      <c r="B4" s="30"/>
      <c r="C4" s="34"/>
      <c r="D4" s="30">
        <v>5</v>
      </c>
      <c r="E4" s="30">
        <v>4.9000000000000004</v>
      </c>
      <c r="F4" s="30"/>
      <c r="G4" s="30">
        <v>0</v>
      </c>
      <c r="H4" s="30"/>
      <c r="I4" s="30"/>
      <c r="J4" s="30"/>
      <c r="K4" s="30"/>
      <c r="L4" s="30"/>
      <c r="M4" s="30"/>
      <c r="N4" s="30"/>
      <c r="O4" s="33"/>
    </row>
    <row r="5" spans="1:15" ht="13.5" thickBot="1">
      <c r="A5" s="35" t="s">
        <v>203</v>
      </c>
      <c r="B5" s="36"/>
      <c r="C5" s="37"/>
      <c r="D5" s="36">
        <v>34</v>
      </c>
      <c r="E5" s="36">
        <v>7.4</v>
      </c>
      <c r="F5" s="36"/>
      <c r="G5" s="36">
        <v>8.5</v>
      </c>
      <c r="H5" s="36"/>
      <c r="I5" s="36"/>
      <c r="J5" s="36"/>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c r="A9" s="2" t="s">
        <v>212</v>
      </c>
      <c r="D9" s="2">
        <v>4</v>
      </c>
      <c r="E9" s="2">
        <v>0.8</v>
      </c>
      <c r="F9" s="2">
        <v>1.4999999999999999E-2</v>
      </c>
    </row>
    <row r="10" spans="1:15" ht="14.25">
      <c r="A10" s="39"/>
      <c r="B10" s="53" t="s">
        <v>213</v>
      </c>
      <c r="C10" s="27"/>
      <c r="D10" s="27"/>
      <c r="E10" s="43"/>
      <c r="F10" s="43"/>
      <c r="G10" s="44"/>
      <c r="H10" s="56" t="s">
        <v>214</v>
      </c>
      <c r="I10" s="45"/>
    </row>
    <row r="11" spans="1:15">
      <c r="A11" s="29" t="s">
        <v>215</v>
      </c>
      <c r="B11" s="32">
        <v>0.34</v>
      </c>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f>
        <v xml:space="preserve"> =EXP(1*(-8.426)+tr*(0.1554)+pr*(1.434)+bw*(-3.907)+tr*pr*(0.009679)+tr*bw*(-0.1553)+pr*bw*(2.171)+tr^2*(-0.001929)+pr^2*(-0.1216)+bw^2*(-64.86))</v>
      </c>
      <c r="C12" s="49"/>
      <c r="D12" s="50"/>
      <c r="E12" s="49"/>
      <c r="F12" s="50"/>
      <c r="G12" s="51"/>
      <c r="H12" s="36">
        <f>17.5/2.3</f>
        <v>7.608695652173914</v>
      </c>
      <c r="I12" s="38"/>
    </row>
    <row r="13" spans="1:15" ht="13.5" thickBot="1"/>
    <row r="14" spans="1:15">
      <c r="A14" s="1">
        <v>1</v>
      </c>
      <c r="B14" s="24">
        <v>1</v>
      </c>
      <c r="C14" s="2">
        <v>-8.4260000000000002</v>
      </c>
      <c r="E14" s="4"/>
      <c r="F14" s="201"/>
      <c r="G14" s="202"/>
      <c r="H14" s="202"/>
      <c r="I14" s="202"/>
      <c r="J14" s="202"/>
      <c r="K14" s="202"/>
      <c r="L14" s="202"/>
      <c r="M14" s="202"/>
      <c r="N14" s="202"/>
      <c r="O14" s="203"/>
    </row>
    <row r="15" spans="1:15">
      <c r="A15" s="1">
        <v>34</v>
      </c>
      <c r="B15" s="24" t="s">
        <v>45</v>
      </c>
      <c r="C15" s="2">
        <v>0.15540000000000001</v>
      </c>
      <c r="F15" s="204" t="s">
        <v>202</v>
      </c>
      <c r="G15" s="205" t="s">
        <v>203</v>
      </c>
      <c r="H15" s="205"/>
      <c r="I15" s="205"/>
      <c r="J15" s="205"/>
      <c r="K15" s="205"/>
      <c r="L15" s="206" t="s">
        <v>217</v>
      </c>
      <c r="M15" s="205">
        <v>36.039900000000003</v>
      </c>
      <c r="N15" s="205"/>
      <c r="O15" s="207"/>
    </row>
    <row r="16" spans="1:15">
      <c r="A16" s="1">
        <v>7</v>
      </c>
      <c r="B16" s="24" t="s">
        <v>46</v>
      </c>
      <c r="C16" s="2">
        <v>1.4339999999999999</v>
      </c>
      <c r="F16" s="204">
        <v>5</v>
      </c>
      <c r="G16" s="205">
        <v>37</v>
      </c>
      <c r="H16" s="205"/>
      <c r="I16" s="206" t="s">
        <v>218</v>
      </c>
      <c r="J16" s="205">
        <v>3.03</v>
      </c>
      <c r="K16" s="205"/>
      <c r="L16" s="205" t="s">
        <v>219</v>
      </c>
      <c r="M16" s="205">
        <v>-6.3997999999999999</v>
      </c>
      <c r="N16" s="205"/>
      <c r="O16" s="207"/>
    </row>
    <row r="17" spans="1:15">
      <c r="A17" s="1">
        <v>0.5</v>
      </c>
      <c r="B17" s="24" t="s">
        <v>47</v>
      </c>
      <c r="C17" s="2">
        <v>-3.907</v>
      </c>
      <c r="F17" s="204">
        <v>4.5</v>
      </c>
      <c r="G17" s="205">
        <v>7.5</v>
      </c>
      <c r="H17" s="205"/>
      <c r="I17" s="206" t="s">
        <v>220</v>
      </c>
      <c r="J17" s="205">
        <v>4.4000000000000004</v>
      </c>
      <c r="K17" s="205"/>
      <c r="L17" s="205" t="s">
        <v>221</v>
      </c>
      <c r="M17" s="205">
        <v>0</v>
      </c>
      <c r="N17" s="205"/>
      <c r="O17" s="207"/>
    </row>
    <row r="18" spans="1:15">
      <c r="A18" s="1">
        <f>A$15*A$16</f>
        <v>238</v>
      </c>
      <c r="B18" s="24" t="s">
        <v>222</v>
      </c>
      <c r="C18" s="2">
        <v>9.6790000000000001E-3</v>
      </c>
      <c r="F18" s="204">
        <v>0.93100000000000005</v>
      </c>
      <c r="G18" s="205">
        <v>1</v>
      </c>
      <c r="H18" s="205"/>
      <c r="I18" s="206" t="s">
        <v>223</v>
      </c>
      <c r="J18" s="205">
        <v>0.92</v>
      </c>
      <c r="K18" s="205"/>
      <c r="L18" s="205" t="s">
        <v>224</v>
      </c>
      <c r="M18" s="205">
        <v>15.176500000000001</v>
      </c>
      <c r="N18" s="205"/>
      <c r="O18" s="207"/>
    </row>
    <row r="19" spans="1:15">
      <c r="A19" s="1">
        <f>A$15*A$17</f>
        <v>17</v>
      </c>
      <c r="B19" s="24" t="s">
        <v>225</v>
      </c>
      <c r="C19" s="2">
        <v>-0.15529999999999999</v>
      </c>
      <c r="F19" s="204"/>
      <c r="G19" s="205"/>
      <c r="H19" s="205"/>
      <c r="I19" s="205"/>
      <c r="J19" s="205"/>
      <c r="K19" s="205"/>
      <c r="L19" s="205" t="s">
        <v>226</v>
      </c>
      <c r="M19" s="205">
        <v>0</v>
      </c>
      <c r="N19" s="205"/>
      <c r="O19" s="207"/>
    </row>
    <row r="20" spans="1:15">
      <c r="A20" s="1">
        <f>A$16*A$17</f>
        <v>3.5</v>
      </c>
      <c r="B20" s="24" t="s">
        <v>227</v>
      </c>
      <c r="C20" s="2">
        <v>2.1709999999999998</v>
      </c>
      <c r="F20" s="204"/>
      <c r="G20" s="205"/>
      <c r="H20" s="205"/>
      <c r="I20" s="205"/>
      <c r="J20" s="205"/>
      <c r="K20" s="205"/>
      <c r="L20" s="205" t="s">
        <v>228</v>
      </c>
      <c r="M20" s="205">
        <v>-3.2938000000000001</v>
      </c>
      <c r="N20" s="205"/>
      <c r="O20" s="207"/>
    </row>
    <row r="21" spans="1:15">
      <c r="A21" s="1">
        <f>A$15^2</f>
        <v>1156</v>
      </c>
      <c r="B21" s="24" t="s">
        <v>229</v>
      </c>
      <c r="C21" s="2">
        <v>-1.9289999999999999E-3</v>
      </c>
      <c r="F21" s="204"/>
      <c r="G21" s="205"/>
      <c r="H21" s="205"/>
      <c r="I21" s="205"/>
      <c r="J21" s="205"/>
      <c r="K21" s="205"/>
      <c r="L21" s="205" t="s">
        <v>230</v>
      </c>
      <c r="M21" s="205">
        <v>-1.0909</v>
      </c>
      <c r="N21" s="205"/>
      <c r="O21" s="207"/>
    </row>
    <row r="22" spans="1:15" ht="13.5" thickBot="1">
      <c r="A22" s="1">
        <f>A$16^2</f>
        <v>49</v>
      </c>
      <c r="B22" s="24" t="s">
        <v>231</v>
      </c>
      <c r="C22" s="2">
        <v>-0.1216</v>
      </c>
      <c r="F22" s="208"/>
      <c r="G22" s="209"/>
      <c r="H22" s="209"/>
      <c r="I22" s="209"/>
      <c r="J22" s="209"/>
      <c r="K22" s="209"/>
      <c r="L22" s="209" t="s">
        <v>232</v>
      </c>
      <c r="M22" s="209">
        <v>0</v>
      </c>
      <c r="N22" s="209"/>
      <c r="O22" s="210"/>
    </row>
    <row r="23" spans="1:15">
      <c r="A23" s="1">
        <f>A$17^2</f>
        <v>0.25</v>
      </c>
      <c r="B23" s="24" t="s">
        <v>233</v>
      </c>
      <c r="C23" s="2">
        <v>-64.86</v>
      </c>
    </row>
    <row r="24" spans="1:15">
      <c r="A24" s="1"/>
      <c r="B24" s="24"/>
    </row>
    <row r="25" spans="1:15">
      <c r="A25" s="1"/>
      <c r="B25" s="24"/>
    </row>
    <row r="26" spans="1:15">
      <c r="A26" s="1"/>
      <c r="B26" s="24"/>
    </row>
    <row r="27" spans="1:15">
      <c r="A27" s="1"/>
      <c r="B27" s="24"/>
    </row>
    <row r="28" spans="1:15">
      <c r="A28" s="1"/>
      <c r="B28" s="24"/>
    </row>
    <row r="30" spans="1:15">
      <c r="D30" s="124" t="s">
        <v>234</v>
      </c>
    </row>
    <row r="31" spans="1:15">
      <c r="D31">
        <v>5</v>
      </c>
      <c r="E31">
        <v>7</v>
      </c>
      <c r="F31">
        <v>0.99900000000000011</v>
      </c>
    </row>
    <row r="32" spans="1:15">
      <c r="D32">
        <v>5</v>
      </c>
      <c r="E32">
        <v>7</v>
      </c>
      <c r="F32">
        <v>0.9890000000000001</v>
      </c>
    </row>
    <row r="33" spans="4:6">
      <c r="D33">
        <v>5</v>
      </c>
      <c r="E33">
        <v>6</v>
      </c>
      <c r="F33">
        <v>0.99900000000000011</v>
      </c>
    </row>
    <row r="34" spans="4:6">
      <c r="D34">
        <v>5</v>
      </c>
      <c r="E34">
        <v>6</v>
      </c>
      <c r="F34">
        <v>0.995</v>
      </c>
    </row>
    <row r="35" spans="4:6">
      <c r="D35">
        <v>7</v>
      </c>
      <c r="E35">
        <v>5.5</v>
      </c>
      <c r="F35">
        <v>0.99900000000000011</v>
      </c>
    </row>
    <row r="36" spans="4:6">
      <c r="D36">
        <v>7</v>
      </c>
      <c r="E36">
        <v>5.5</v>
      </c>
      <c r="F36">
        <v>0.9890000000000001</v>
      </c>
    </row>
    <row r="37" spans="4:6">
      <c r="D37">
        <v>10</v>
      </c>
      <c r="E37">
        <v>6</v>
      </c>
      <c r="F37">
        <v>0.97099999999999997</v>
      </c>
    </row>
    <row r="38" spans="4:6">
      <c r="D38">
        <v>10</v>
      </c>
      <c r="E38">
        <v>5</v>
      </c>
      <c r="F38">
        <v>0.99900000000000011</v>
      </c>
    </row>
    <row r="39" spans="4:6">
      <c r="D39">
        <v>21</v>
      </c>
      <c r="E39">
        <v>7.4</v>
      </c>
      <c r="F39">
        <v>0.99199999999999999</v>
      </c>
    </row>
    <row r="40" spans="4:6">
      <c r="D40">
        <v>34</v>
      </c>
      <c r="E40">
        <v>7</v>
      </c>
      <c r="F40">
        <v>0.94700000000000006</v>
      </c>
    </row>
    <row r="41" spans="4:6">
      <c r="D41">
        <v>7</v>
      </c>
      <c r="E41">
        <v>7</v>
      </c>
      <c r="F41">
        <v>0.97400000000000009</v>
      </c>
    </row>
    <row r="42" spans="4:6">
      <c r="D42">
        <v>34</v>
      </c>
      <c r="E42">
        <v>6</v>
      </c>
      <c r="F42">
        <v>0.96099999999999997</v>
      </c>
    </row>
    <row r="43" spans="4:6">
      <c r="D43">
        <v>34</v>
      </c>
      <c r="E43">
        <v>7</v>
      </c>
      <c r="F43">
        <v>0.999</v>
      </c>
    </row>
    <row r="44" spans="4:6">
      <c r="D44">
        <v>34</v>
      </c>
      <c r="E44">
        <v>5</v>
      </c>
      <c r="F44">
        <v>0.999</v>
      </c>
    </row>
    <row r="45" spans="4:6">
      <c r="D45">
        <v>30</v>
      </c>
      <c r="E45">
        <v>7.3</v>
      </c>
      <c r="F45">
        <v>0.96099999999999997</v>
      </c>
    </row>
    <row r="46" spans="4:6">
      <c r="D46">
        <v>25</v>
      </c>
      <c r="E46">
        <v>4.9000000000000004</v>
      </c>
      <c r="F46">
        <v>0.97400000000000009</v>
      </c>
    </row>
    <row r="47" spans="4:6">
      <c r="D47">
        <v>25</v>
      </c>
      <c r="E47">
        <v>4.9000000000000004</v>
      </c>
      <c r="F47">
        <v>0.96099999999999997</v>
      </c>
    </row>
    <row r="48" spans="4:6">
      <c r="D48">
        <v>30</v>
      </c>
      <c r="E48">
        <v>7.1</v>
      </c>
      <c r="F48">
        <v>0.999</v>
      </c>
    </row>
    <row r="49" spans="4:6">
      <c r="D49">
        <v>30</v>
      </c>
      <c r="E49">
        <v>5.7</v>
      </c>
      <c r="F49">
        <v>0.94700000000000006</v>
      </c>
    </row>
    <row r="50" spans="4:6">
      <c r="D50">
        <v>13</v>
      </c>
      <c r="E50">
        <v>7</v>
      </c>
      <c r="F50">
        <v>0.94</v>
      </c>
    </row>
    <row r="51" spans="4:6">
      <c r="D51">
        <v>7</v>
      </c>
      <c r="E51">
        <v>6</v>
      </c>
      <c r="F51">
        <v>0.98299999999999998</v>
      </c>
    </row>
    <row r="52" spans="4:6">
      <c r="D52">
        <v>30</v>
      </c>
      <c r="E52">
        <v>7</v>
      </c>
      <c r="F52">
        <v>0.99900000000000011</v>
      </c>
    </row>
    <row r="53" spans="4:6">
      <c r="D53">
        <v>22</v>
      </c>
      <c r="E53">
        <v>7</v>
      </c>
      <c r="F53">
        <v>0.99900000000000011</v>
      </c>
    </row>
    <row r="54" spans="4:6">
      <c r="D54">
        <v>32</v>
      </c>
      <c r="E54">
        <v>6.4</v>
      </c>
      <c r="F54">
        <v>0.99900000000000011</v>
      </c>
    </row>
    <row r="55" spans="4:6">
      <c r="D55"/>
      <c r="E55"/>
      <c r="F55"/>
    </row>
    <row r="56" spans="4:6">
      <c r="D56" s="2" t="s">
        <v>235</v>
      </c>
    </row>
    <row r="57" spans="4:6">
      <c r="D57">
        <v>37</v>
      </c>
      <c r="E57">
        <v>5</v>
      </c>
      <c r="F57">
        <v>0.99900000000000011</v>
      </c>
    </row>
    <row r="58" spans="4:6">
      <c r="D58">
        <v>37</v>
      </c>
      <c r="E58">
        <v>4.9000000000000004</v>
      </c>
      <c r="F58">
        <v>0.96099999999999997</v>
      </c>
    </row>
    <row r="59" spans="4:6">
      <c r="D59">
        <v>37</v>
      </c>
      <c r="E59">
        <v>4.9000000000000004</v>
      </c>
      <c r="F59">
        <v>0.999</v>
      </c>
    </row>
    <row r="60" spans="4:6">
      <c r="D60">
        <v>37</v>
      </c>
      <c r="E60">
        <v>7</v>
      </c>
      <c r="F60">
        <v>0.99900000000000011</v>
      </c>
    </row>
    <row r="61" spans="4:6">
      <c r="D61">
        <v>30</v>
      </c>
      <c r="E61">
        <v>4.3</v>
      </c>
      <c r="F61">
        <v>0.999</v>
      </c>
    </row>
    <row r="62" spans="4:6">
      <c r="D62">
        <v>16</v>
      </c>
      <c r="E62">
        <v>4.5</v>
      </c>
      <c r="F62">
        <v>0.999</v>
      </c>
    </row>
    <row r="63" spans="4:6">
      <c r="D63">
        <v>34</v>
      </c>
      <c r="E63">
        <v>4.5</v>
      </c>
      <c r="F63">
        <v>0.999</v>
      </c>
    </row>
    <row r="64" spans="4:6">
      <c r="D64">
        <v>21</v>
      </c>
      <c r="E64">
        <v>4.7</v>
      </c>
      <c r="F64">
        <v>0.97400000000000009</v>
      </c>
    </row>
    <row r="65" spans="4:6">
      <c r="D65">
        <v>5</v>
      </c>
      <c r="E65">
        <v>5</v>
      </c>
      <c r="F65">
        <v>0.98299999999999998</v>
      </c>
    </row>
    <row r="66" spans="4:6">
      <c r="D66">
        <v>5</v>
      </c>
      <c r="E66">
        <v>5</v>
      </c>
      <c r="F66">
        <v>0.995</v>
      </c>
    </row>
    <row r="67" spans="4:6">
      <c r="D67">
        <v>5</v>
      </c>
      <c r="E67">
        <v>5.5</v>
      </c>
      <c r="F67">
        <v>0.97699999999999998</v>
      </c>
    </row>
    <row r="68" spans="4:6">
      <c r="D68">
        <v>42</v>
      </c>
      <c r="E68">
        <v>5.5</v>
      </c>
      <c r="F68">
        <v>0.98599999999999999</v>
      </c>
    </row>
    <row r="69" spans="4:6">
      <c r="D69">
        <v>45</v>
      </c>
      <c r="E69">
        <v>6</v>
      </c>
      <c r="F69">
        <v>0.9890000000000001</v>
      </c>
    </row>
    <row r="70" spans="4:6">
      <c r="D70">
        <v>28</v>
      </c>
      <c r="E70">
        <v>6.4</v>
      </c>
      <c r="F70">
        <v>0.9</v>
      </c>
    </row>
    <row r="71" spans="4:6">
      <c r="D71">
        <v>28</v>
      </c>
      <c r="E71">
        <v>7</v>
      </c>
      <c r="F71">
        <v>0.89400000000000002</v>
      </c>
    </row>
    <row r="72" spans="4:6">
      <c r="D72">
        <v>34</v>
      </c>
      <c r="E72">
        <v>7</v>
      </c>
      <c r="F72">
        <v>0.89400000000000002</v>
      </c>
    </row>
    <row r="73" spans="4:6">
      <c r="D73">
        <v>5</v>
      </c>
      <c r="E73">
        <v>7</v>
      </c>
      <c r="F73">
        <v>0.98599999999999999</v>
      </c>
    </row>
    <row r="74" spans="4:6">
      <c r="D74">
        <v>16</v>
      </c>
      <c r="E74">
        <v>7.1</v>
      </c>
      <c r="F74">
        <v>0.92</v>
      </c>
    </row>
    <row r="75" spans="4:6">
      <c r="D75">
        <v>5</v>
      </c>
      <c r="E75">
        <v>7.3</v>
      </c>
      <c r="F75">
        <v>0.999</v>
      </c>
    </row>
    <row r="76" spans="4:6">
      <c r="D76">
        <v>46</v>
      </c>
      <c r="E76">
        <v>7.4</v>
      </c>
      <c r="F76">
        <v>0.97099999999999997</v>
      </c>
    </row>
    <row r="77" spans="4:6">
      <c r="D77">
        <v>50</v>
      </c>
      <c r="E77">
        <v>7.4</v>
      </c>
      <c r="F77">
        <v>0.999</v>
      </c>
    </row>
    <row r="78" spans="4:6">
      <c r="D78">
        <v>30</v>
      </c>
      <c r="E78">
        <v>8.8000000000000007</v>
      </c>
      <c r="F78">
        <v>0.999</v>
      </c>
    </row>
    <row r="79" spans="4:6">
      <c r="D79">
        <v>21</v>
      </c>
      <c r="E79">
        <v>9.9</v>
      </c>
      <c r="F79">
        <v>0.95400000000000007</v>
      </c>
    </row>
    <row r="80" spans="4:6">
      <c r="D80">
        <v>5</v>
      </c>
      <c r="E80">
        <v>7</v>
      </c>
      <c r="F80">
        <v>0.99900000000000011</v>
      </c>
    </row>
    <row r="81" spans="4:11">
      <c r="D81">
        <v>5</v>
      </c>
      <c r="E81">
        <v>6</v>
      </c>
      <c r="F81">
        <v>0.99900000000000011</v>
      </c>
    </row>
    <row r="82" spans="4:11">
      <c r="D82">
        <v>10</v>
      </c>
      <c r="E82">
        <v>5</v>
      </c>
      <c r="F82">
        <v>0.99900000000000011</v>
      </c>
    </row>
    <row r="83" spans="4:11">
      <c r="D83">
        <v>25</v>
      </c>
      <c r="E83">
        <v>4.9000000000000004</v>
      </c>
      <c r="F83">
        <v>0.96099999999999997</v>
      </c>
    </row>
    <row r="84" spans="4:11">
      <c r="D84"/>
      <c r="E84"/>
      <c r="F84"/>
      <c r="I84"/>
      <c r="J84"/>
      <c r="K84"/>
    </row>
    <row r="85" spans="4:11">
      <c r="D85" s="2" t="s">
        <v>236</v>
      </c>
    </row>
    <row r="86" spans="4:11">
      <c r="D86" s="2">
        <v>0</v>
      </c>
      <c r="E86" s="2">
        <v>4</v>
      </c>
      <c r="F86" s="2">
        <v>1</v>
      </c>
    </row>
    <row r="87" spans="4:11">
      <c r="D87" s="2">
        <v>0</v>
      </c>
      <c r="E87" s="2">
        <v>11</v>
      </c>
      <c r="F87" s="2">
        <v>1</v>
      </c>
    </row>
    <row r="88" spans="4:11">
      <c r="D88" s="2">
        <v>0</v>
      </c>
      <c r="E88" s="2">
        <v>11</v>
      </c>
      <c r="F88" s="2">
        <v>0.86</v>
      </c>
    </row>
    <row r="89" spans="4:11">
      <c r="D89" s="2">
        <v>55</v>
      </c>
      <c r="E89" s="2">
        <v>4</v>
      </c>
      <c r="F89" s="2">
        <v>1</v>
      </c>
    </row>
    <row r="90" spans="4:11">
      <c r="D90" s="2">
        <v>55</v>
      </c>
      <c r="E90" s="2">
        <v>4</v>
      </c>
      <c r="F90" s="2">
        <v>0.86</v>
      </c>
    </row>
    <row r="91" spans="4:11">
      <c r="D91" s="2">
        <v>55</v>
      </c>
      <c r="E91" s="2">
        <v>11</v>
      </c>
      <c r="F91" s="2">
        <v>1</v>
      </c>
    </row>
    <row r="93" spans="4:11">
      <c r="D93" s="124" t="s">
        <v>237</v>
      </c>
    </row>
    <row r="94" spans="4:11">
      <c r="D94">
        <v>30</v>
      </c>
      <c r="E94">
        <v>5</v>
      </c>
      <c r="F94">
        <v>0.94699999999999995</v>
      </c>
    </row>
    <row r="95" spans="4:11">
      <c r="D95">
        <v>10</v>
      </c>
      <c r="E95">
        <v>6.5</v>
      </c>
      <c r="F95">
        <v>0.94699999999999995</v>
      </c>
    </row>
    <row r="96" spans="4:11">
      <c r="D96">
        <v>10</v>
      </c>
      <c r="E96">
        <v>7</v>
      </c>
      <c r="F96">
        <v>0.94699999999999995</v>
      </c>
    </row>
    <row r="97" spans="4:6">
      <c r="D97">
        <v>20</v>
      </c>
      <c r="E97">
        <v>5.6</v>
      </c>
      <c r="F97">
        <v>0.93100000000000005</v>
      </c>
    </row>
    <row r="98" spans="4:6">
      <c r="D98">
        <v>15</v>
      </c>
      <c r="E98">
        <v>6.8</v>
      </c>
      <c r="F98">
        <v>0.93100000000000005</v>
      </c>
    </row>
    <row r="99" spans="4:6">
      <c r="D99">
        <v>20</v>
      </c>
      <c r="E99">
        <v>4.5</v>
      </c>
      <c r="F99">
        <v>0.97099999999999997</v>
      </c>
    </row>
    <row r="100" spans="4:6">
      <c r="D100">
        <v>5</v>
      </c>
      <c r="E100">
        <v>4.5</v>
      </c>
      <c r="F100">
        <v>0.995</v>
      </c>
    </row>
    <row r="101" spans="4:6">
      <c r="D101">
        <v>5</v>
      </c>
      <c r="E101">
        <v>4.5</v>
      </c>
      <c r="F101">
        <v>0.97099999999999997</v>
      </c>
    </row>
    <row r="102" spans="4:6">
      <c r="D102">
        <v>10</v>
      </c>
      <c r="E102">
        <v>4.5</v>
      </c>
      <c r="F102">
        <v>0.999</v>
      </c>
    </row>
    <row r="103" spans="4:6">
      <c r="D103">
        <v>21</v>
      </c>
      <c r="E103">
        <v>7.3</v>
      </c>
      <c r="F103">
        <v>0.94299999999999995</v>
      </c>
    </row>
    <row r="104" spans="4:6">
      <c r="D104">
        <v>34</v>
      </c>
      <c r="E104">
        <v>7</v>
      </c>
      <c r="F104">
        <v>0.93100000000000005</v>
      </c>
    </row>
    <row r="105" spans="4:6">
      <c r="D105">
        <v>34</v>
      </c>
      <c r="E105">
        <v>5.5</v>
      </c>
      <c r="F105">
        <v>0.93100000000000005</v>
      </c>
    </row>
    <row r="106" spans="4:6">
      <c r="D106">
        <v>34</v>
      </c>
      <c r="E106">
        <v>4.5999999999999996</v>
      </c>
      <c r="F106">
        <v>0.98599999999999999</v>
      </c>
    </row>
    <row r="107" spans="4:6">
      <c r="D107">
        <v>22</v>
      </c>
      <c r="E107">
        <v>7.1</v>
      </c>
      <c r="F107">
        <v>0.93100000000000005</v>
      </c>
    </row>
    <row r="108" spans="4:6">
      <c r="D108">
        <v>34</v>
      </c>
      <c r="E108">
        <v>4.5</v>
      </c>
      <c r="F108">
        <v>1</v>
      </c>
    </row>
    <row r="109" spans="4:6">
      <c r="D109">
        <v>5</v>
      </c>
      <c r="E109">
        <v>6.9</v>
      </c>
      <c r="F109">
        <v>1</v>
      </c>
    </row>
    <row r="110" spans="4:6">
      <c r="D110">
        <v>5</v>
      </c>
      <c r="E110">
        <v>6</v>
      </c>
      <c r="F110">
        <v>0.97099999999999997</v>
      </c>
    </row>
    <row r="111" spans="4:6">
      <c r="D111">
        <v>5</v>
      </c>
      <c r="E111">
        <v>7</v>
      </c>
      <c r="F111">
        <v>0.97699999999999998</v>
      </c>
    </row>
    <row r="112" spans="4:6">
      <c r="D112">
        <v>5</v>
      </c>
      <c r="E112">
        <v>5</v>
      </c>
      <c r="F112">
        <v>0.999</v>
      </c>
    </row>
    <row r="113" spans="4:6">
      <c r="D113">
        <v>16</v>
      </c>
      <c r="E113">
        <v>7.1</v>
      </c>
      <c r="F113">
        <v>0.93100000000000005</v>
      </c>
    </row>
    <row r="114" spans="4:6">
      <c r="D114">
        <v>16</v>
      </c>
      <c r="E114">
        <v>4.5</v>
      </c>
      <c r="F114">
        <v>1</v>
      </c>
    </row>
    <row r="115" spans="4:6">
      <c r="D115">
        <v>34</v>
      </c>
      <c r="E115">
        <v>6.6</v>
      </c>
      <c r="F115">
        <v>1</v>
      </c>
    </row>
    <row r="116" spans="4:6">
      <c r="D116">
        <v>5</v>
      </c>
      <c r="E116">
        <v>7.5</v>
      </c>
      <c r="F116">
        <v>0.999</v>
      </c>
    </row>
    <row r="117" spans="4:6">
      <c r="D117">
        <v>19</v>
      </c>
      <c r="E117">
        <v>7.5</v>
      </c>
      <c r="F117">
        <v>0.97099999999999997</v>
      </c>
    </row>
    <row r="118" spans="4:6">
      <c r="D118">
        <v>37</v>
      </c>
      <c r="E118">
        <v>5.5</v>
      </c>
      <c r="F118">
        <v>0.97099999999999997</v>
      </c>
    </row>
    <row r="119" spans="4:6">
      <c r="D119">
        <v>37</v>
      </c>
      <c r="E119">
        <v>7</v>
      </c>
      <c r="F119">
        <v>0.97099999999999997</v>
      </c>
    </row>
    <row r="120" spans="4:6">
      <c r="D120">
        <v>37</v>
      </c>
      <c r="E120">
        <v>7.5</v>
      </c>
      <c r="F120">
        <v>0.999</v>
      </c>
    </row>
    <row r="121" spans="4:6">
      <c r="D121">
        <v>32</v>
      </c>
      <c r="E121">
        <v>7.4</v>
      </c>
      <c r="F121">
        <v>0.97099999999999997</v>
      </c>
    </row>
    <row r="122" spans="4:6">
      <c r="D122">
        <v>37</v>
      </c>
      <c r="E122">
        <v>6</v>
      </c>
      <c r="F122">
        <v>0.999</v>
      </c>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33"/>
  <sheetViews>
    <sheetView workbookViewId="0">
      <selection activeCell="E28" sqref="E28"/>
    </sheetView>
  </sheetViews>
  <sheetFormatPr defaultColWidth="8.875" defaultRowHeight="12.75"/>
  <cols>
    <col min="1" max="1" width="8.375" style="2" customWidth="1"/>
    <col min="2" max="2" width="11.5" style="2" customWidth="1"/>
    <col min="3" max="3" width="10.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Orgs!B4</f>
        <v>Bacillus cereus + CO_2</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EXP(-7.4)</f>
        <v>6.112527611295723E-4</v>
      </c>
      <c r="D3" s="30">
        <v>20</v>
      </c>
      <c r="E3" s="30">
        <v>7</v>
      </c>
      <c r="F3" s="32" t="s">
        <v>201</v>
      </c>
      <c r="G3" s="30">
        <v>0.5</v>
      </c>
      <c r="H3" s="30">
        <v>0</v>
      </c>
      <c r="I3" s="30"/>
      <c r="J3" s="30"/>
      <c r="K3" s="30"/>
      <c r="L3" s="30"/>
      <c r="M3" s="30"/>
      <c r="N3" s="30"/>
      <c r="O3" s="33"/>
    </row>
    <row r="4" spans="1:15">
      <c r="A4" s="29" t="s">
        <v>202</v>
      </c>
      <c r="B4" s="30"/>
      <c r="C4" s="34"/>
      <c r="D4" s="30">
        <v>5</v>
      </c>
      <c r="E4" s="30">
        <v>4.9000000000000004</v>
      </c>
      <c r="F4" s="30"/>
      <c r="G4" s="30">
        <v>0</v>
      </c>
      <c r="H4" s="30">
        <v>0</v>
      </c>
      <c r="I4" s="30"/>
      <c r="J4" s="30"/>
      <c r="K4" s="30"/>
      <c r="L4" s="30"/>
      <c r="M4" s="30"/>
      <c r="N4" s="30"/>
      <c r="O4" s="33"/>
    </row>
    <row r="5" spans="1:15" ht="13.5" thickBot="1">
      <c r="A5" s="35" t="s">
        <v>203</v>
      </c>
      <c r="B5" s="36"/>
      <c r="C5" s="37"/>
      <c r="D5" s="36">
        <v>34</v>
      </c>
      <c r="E5" s="36">
        <v>7.4</v>
      </c>
      <c r="F5" s="36"/>
      <c r="G5" s="36">
        <v>9.4</v>
      </c>
      <c r="H5" s="36">
        <v>60</v>
      </c>
      <c r="I5" s="36"/>
      <c r="J5" s="36"/>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240</v>
      </c>
      <c r="I8" s="36" t="s">
        <v>211</v>
      </c>
      <c r="J8" s="36" t="s">
        <v>211</v>
      </c>
      <c r="K8" s="36" t="s">
        <v>211</v>
      </c>
      <c r="L8" s="36" t="s">
        <v>211</v>
      </c>
      <c r="M8" s="36" t="s">
        <v>211</v>
      </c>
      <c r="N8" s="36" t="s">
        <v>211</v>
      </c>
      <c r="O8" s="38" t="s">
        <v>211</v>
      </c>
    </row>
    <row r="9" spans="1:15" ht="13.5" thickBot="1">
      <c r="A9" s="2" t="s">
        <v>212</v>
      </c>
      <c r="D9" s="2">
        <v>4</v>
      </c>
      <c r="E9" s="2">
        <v>0.8</v>
      </c>
      <c r="F9" s="2">
        <v>1.4999999999999999E-2</v>
      </c>
      <c r="H9" s="2">
        <v>70</v>
      </c>
    </row>
    <row r="10" spans="1:15" ht="14.25">
      <c r="A10" s="39"/>
      <c r="B10" s="53" t="s">
        <v>213</v>
      </c>
      <c r="C10" s="27"/>
      <c r="D10" s="27"/>
      <c r="E10" s="43"/>
      <c r="F10" s="43"/>
      <c r="G10" s="44"/>
      <c r="H10" s="56" t="s">
        <v>214</v>
      </c>
      <c r="I10" s="45"/>
    </row>
    <row r="11" spans="1:15">
      <c r="A11" s="29" t="s">
        <v>215</v>
      </c>
      <c r="B11" s="32"/>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amp;B24&amp;"*("&amp;C24&amp;")+"&amp;B25&amp;"*("&amp;C25&amp;")+"&amp;B26&amp;"*("&amp;C26&amp;")+"&amp;B27&amp;"*("&amp;C27&amp;")+"&amp;B28&amp;"*("&amp;C28&amp;"))"</f>
        <v xml:space="preserve"> =EXP(1*(-8.426)+tr*(0.1554)+pr*(1.434)+bw*(-3.907)+tr*pr*(0.009679)+tr*bw*(-0.1553)+pr*bw*(2.171)+tr^2*(-0.001929)+pr^2*(-0.1216)+bw^2*(-64.86)+Cr*(-0.01014)+tr*Cr*(-0.00007827)+pr*Cr*(-0.00002291)+bw*Cr*(0.05477)+Cr^2*(0.00000153))</v>
      </c>
      <c r="C12" s="49"/>
      <c r="D12" s="50"/>
      <c r="E12" s="49"/>
      <c r="F12" s="50"/>
      <c r="G12" s="51"/>
      <c r="H12" s="36">
        <f>17.5/2.3</f>
        <v>7.608695652173914</v>
      </c>
      <c r="I12" s="38"/>
    </row>
    <row r="14" spans="1:15">
      <c r="A14" s="1">
        <v>1</v>
      </c>
      <c r="B14" s="24">
        <v>1</v>
      </c>
      <c r="C14" s="54">
        <v>-8.4260000000000002</v>
      </c>
    </row>
    <row r="15" spans="1:15">
      <c r="A15" s="1">
        <v>20</v>
      </c>
      <c r="B15" s="24" t="s">
        <v>45</v>
      </c>
      <c r="C15" s="54">
        <v>0.15540000000000001</v>
      </c>
      <c r="E15" s="59"/>
    </row>
    <row r="16" spans="1:15">
      <c r="A16" s="1">
        <v>7</v>
      </c>
      <c r="B16" s="24" t="s">
        <v>46</v>
      </c>
      <c r="C16" s="54">
        <v>1.4339999999999999</v>
      </c>
      <c r="E16" s="59"/>
    </row>
    <row r="17" spans="1:8">
      <c r="A17" s="1">
        <v>0.5</v>
      </c>
      <c r="B17" s="24" t="s">
        <v>47</v>
      </c>
      <c r="C17" s="54">
        <v>-3.907</v>
      </c>
      <c r="E17" s="59"/>
    </row>
    <row r="18" spans="1:8">
      <c r="A18" s="1">
        <f>A$15*A$16</f>
        <v>140</v>
      </c>
      <c r="B18" s="24" t="s">
        <v>222</v>
      </c>
      <c r="C18" s="54">
        <v>9.6790000000000001E-3</v>
      </c>
      <c r="E18" s="59"/>
    </row>
    <row r="19" spans="1:8">
      <c r="A19" s="1">
        <f>A$15*A$17</f>
        <v>10</v>
      </c>
      <c r="B19" s="24" t="s">
        <v>225</v>
      </c>
      <c r="C19" s="54">
        <v>-0.15529999999999999</v>
      </c>
      <c r="E19" s="59"/>
    </row>
    <row r="20" spans="1:8">
      <c r="A20" s="1">
        <f>A$16*A$17</f>
        <v>3.5</v>
      </c>
      <c r="B20" s="24" t="s">
        <v>227</v>
      </c>
      <c r="C20" s="54">
        <v>2.1709999999999998</v>
      </c>
      <c r="E20" s="59"/>
    </row>
    <row r="21" spans="1:8">
      <c r="A21" s="1">
        <f>A$15^2</f>
        <v>400</v>
      </c>
      <c r="B21" s="24" t="s">
        <v>229</v>
      </c>
      <c r="C21" s="54">
        <v>-1.9289999999999999E-3</v>
      </c>
      <c r="E21" s="59"/>
    </row>
    <row r="22" spans="1:8">
      <c r="A22" s="1">
        <f>A$16^2</f>
        <v>49</v>
      </c>
      <c r="B22" s="24" t="s">
        <v>231</v>
      </c>
      <c r="C22" s="54">
        <v>-0.1216</v>
      </c>
      <c r="E22" s="59"/>
    </row>
    <row r="23" spans="1:8">
      <c r="A23" s="1">
        <f>A$17^2</f>
        <v>0.25</v>
      </c>
      <c r="B23" s="24" t="s">
        <v>233</v>
      </c>
      <c r="C23" s="54">
        <v>-64.86</v>
      </c>
      <c r="E23" s="59"/>
    </row>
    <row r="24" spans="1:8">
      <c r="A24" s="1">
        <v>20</v>
      </c>
      <c r="B24" s="24" t="s">
        <v>49</v>
      </c>
      <c r="C24" s="54">
        <v>-1.014E-2</v>
      </c>
      <c r="E24" s="59"/>
    </row>
    <row r="25" spans="1:8">
      <c r="A25" s="1">
        <f>A$15*A$24</f>
        <v>400</v>
      </c>
      <c r="B25" s="24" t="s">
        <v>241</v>
      </c>
      <c r="C25" s="54">
        <v>-7.8269999999999994E-5</v>
      </c>
      <c r="E25" s="59"/>
    </row>
    <row r="26" spans="1:8">
      <c r="A26" s="1">
        <f>A$16*A$24</f>
        <v>140</v>
      </c>
      <c r="B26" s="24" t="s">
        <v>242</v>
      </c>
      <c r="C26" s="54">
        <v>-2.2909999999999999E-5</v>
      </c>
      <c r="E26" s="59"/>
    </row>
    <row r="27" spans="1:8">
      <c r="A27" s="1">
        <f>A$17*A$24</f>
        <v>10</v>
      </c>
      <c r="B27" s="24" t="s">
        <v>243</v>
      </c>
      <c r="C27" s="54">
        <v>5.4769999999999999E-2</v>
      </c>
      <c r="E27" s="59"/>
    </row>
    <row r="28" spans="1:8">
      <c r="A28" s="1">
        <f>A$24^2</f>
        <v>400</v>
      </c>
      <c r="B28" s="24" t="s">
        <v>244</v>
      </c>
      <c r="C28" s="54">
        <v>1.53E-6</v>
      </c>
      <c r="E28" s="59"/>
    </row>
    <row r="30" spans="1:8">
      <c r="D30" s="124" t="s">
        <v>234</v>
      </c>
    </row>
    <row r="31" spans="1:8">
      <c r="D31">
        <v>5</v>
      </c>
      <c r="E31">
        <v>7</v>
      </c>
      <c r="F31">
        <v>0.99900000000000011</v>
      </c>
      <c r="H31">
        <v>0</v>
      </c>
    </row>
    <row r="32" spans="1:8">
      <c r="D32">
        <v>5</v>
      </c>
      <c r="E32">
        <v>7</v>
      </c>
      <c r="F32">
        <v>0.9890000000000001</v>
      </c>
      <c r="H32">
        <v>0</v>
      </c>
    </row>
    <row r="33" spans="4:8">
      <c r="D33">
        <v>5</v>
      </c>
      <c r="E33">
        <v>6</v>
      </c>
      <c r="F33">
        <v>0.99900000000000011</v>
      </c>
      <c r="H33">
        <v>0</v>
      </c>
    </row>
    <row r="34" spans="4:8">
      <c r="D34">
        <v>5</v>
      </c>
      <c r="E34">
        <v>6</v>
      </c>
      <c r="F34">
        <v>0.995</v>
      </c>
      <c r="H34">
        <v>0</v>
      </c>
    </row>
    <row r="35" spans="4:8">
      <c r="D35">
        <v>7</v>
      </c>
      <c r="E35">
        <v>5.5</v>
      </c>
      <c r="F35">
        <v>0.99900000000000011</v>
      </c>
      <c r="H35">
        <v>0</v>
      </c>
    </row>
    <row r="36" spans="4:8">
      <c r="D36">
        <v>7</v>
      </c>
      <c r="E36">
        <v>5.5</v>
      </c>
      <c r="F36">
        <v>0.9890000000000001</v>
      </c>
      <c r="H36">
        <v>0</v>
      </c>
    </row>
    <row r="37" spans="4:8">
      <c r="D37">
        <v>10</v>
      </c>
      <c r="E37">
        <v>6</v>
      </c>
      <c r="F37">
        <v>0.97099999999999997</v>
      </c>
      <c r="H37">
        <v>0</v>
      </c>
    </row>
    <row r="38" spans="4:8">
      <c r="D38">
        <v>10</v>
      </c>
      <c r="E38">
        <v>5</v>
      </c>
      <c r="F38">
        <v>0.99900000000000011</v>
      </c>
      <c r="H38">
        <v>0</v>
      </c>
    </row>
    <row r="39" spans="4:8">
      <c r="D39">
        <v>21</v>
      </c>
      <c r="E39">
        <v>7.4</v>
      </c>
      <c r="F39">
        <v>0.99199999999999999</v>
      </c>
      <c r="H39">
        <v>0</v>
      </c>
    </row>
    <row r="40" spans="4:8">
      <c r="D40">
        <v>34</v>
      </c>
      <c r="E40">
        <v>7</v>
      </c>
      <c r="F40">
        <v>0.94700000000000006</v>
      </c>
      <c r="H40">
        <v>0</v>
      </c>
    </row>
    <row r="41" spans="4:8">
      <c r="D41">
        <v>7</v>
      </c>
      <c r="E41">
        <v>7</v>
      </c>
      <c r="F41">
        <v>0.97400000000000009</v>
      </c>
      <c r="H41">
        <v>0</v>
      </c>
    </row>
    <row r="42" spans="4:8">
      <c r="D42">
        <v>34</v>
      </c>
      <c r="E42">
        <v>6</v>
      </c>
      <c r="F42">
        <v>0.96099999999999997</v>
      </c>
      <c r="H42">
        <v>0</v>
      </c>
    </row>
    <row r="43" spans="4:8">
      <c r="D43">
        <v>34</v>
      </c>
      <c r="E43">
        <v>7</v>
      </c>
      <c r="F43">
        <v>0.999</v>
      </c>
      <c r="H43">
        <v>0</v>
      </c>
    </row>
    <row r="44" spans="4:8">
      <c r="D44">
        <v>34</v>
      </c>
      <c r="E44">
        <v>5</v>
      </c>
      <c r="F44">
        <v>0.999</v>
      </c>
      <c r="H44">
        <v>0</v>
      </c>
    </row>
    <row r="45" spans="4:8">
      <c r="D45">
        <v>30</v>
      </c>
      <c r="E45">
        <v>7.3</v>
      </c>
      <c r="F45">
        <v>0.96099999999999997</v>
      </c>
      <c r="H45">
        <v>0</v>
      </c>
    </row>
    <row r="46" spans="4:8">
      <c r="D46">
        <v>25</v>
      </c>
      <c r="E46">
        <v>4.9000000000000004</v>
      </c>
      <c r="F46">
        <v>0.97400000000000009</v>
      </c>
      <c r="H46">
        <v>0</v>
      </c>
    </row>
    <row r="47" spans="4:8">
      <c r="D47">
        <v>25</v>
      </c>
      <c r="E47">
        <v>4.9000000000000004</v>
      </c>
      <c r="F47">
        <v>0.96099999999999997</v>
      </c>
      <c r="H47">
        <v>0</v>
      </c>
    </row>
    <row r="48" spans="4:8">
      <c r="D48">
        <v>30</v>
      </c>
      <c r="E48">
        <v>7.1</v>
      </c>
      <c r="F48">
        <v>0.999</v>
      </c>
      <c r="H48">
        <v>0</v>
      </c>
    </row>
    <row r="49" spans="4:8">
      <c r="D49">
        <v>30</v>
      </c>
      <c r="E49">
        <v>5.7</v>
      </c>
      <c r="F49">
        <v>0.94700000000000006</v>
      </c>
      <c r="H49">
        <v>0</v>
      </c>
    </row>
    <row r="50" spans="4:8">
      <c r="D50">
        <v>15</v>
      </c>
      <c r="E50">
        <v>5.8</v>
      </c>
      <c r="F50">
        <v>0.97400000000000009</v>
      </c>
      <c r="H50">
        <v>20</v>
      </c>
    </row>
    <row r="51" spans="4:8">
      <c r="D51">
        <v>25</v>
      </c>
      <c r="E51">
        <v>7</v>
      </c>
      <c r="F51">
        <v>0.999</v>
      </c>
      <c r="H51">
        <v>10</v>
      </c>
    </row>
    <row r="52" spans="4:8">
      <c r="D52">
        <v>30</v>
      </c>
      <c r="E52">
        <v>7</v>
      </c>
      <c r="F52">
        <v>0.999</v>
      </c>
      <c r="H52">
        <v>10</v>
      </c>
    </row>
    <row r="53" spans="4:8">
      <c r="D53">
        <v>25</v>
      </c>
      <c r="E53">
        <v>6.3</v>
      </c>
      <c r="F53">
        <v>0.97400000000000009</v>
      </c>
      <c r="H53">
        <v>60</v>
      </c>
    </row>
    <row r="54" spans="4:8">
      <c r="D54">
        <v>30</v>
      </c>
      <c r="E54">
        <v>6</v>
      </c>
      <c r="F54">
        <v>0.97400000000000009</v>
      </c>
      <c r="H54">
        <v>60</v>
      </c>
    </row>
    <row r="55" spans="4:8">
      <c r="D55">
        <v>15</v>
      </c>
      <c r="E55">
        <v>7.1</v>
      </c>
      <c r="F55">
        <v>0.98599999999999999</v>
      </c>
      <c r="H55">
        <v>40</v>
      </c>
    </row>
    <row r="56" spans="4:8">
      <c r="D56">
        <v>30</v>
      </c>
      <c r="E56">
        <v>6.6</v>
      </c>
      <c r="F56">
        <v>0.98599999999999999</v>
      </c>
      <c r="H56">
        <v>40</v>
      </c>
    </row>
    <row r="57" spans="4:8">
      <c r="D57">
        <v>15</v>
      </c>
      <c r="E57">
        <v>7</v>
      </c>
      <c r="F57">
        <v>0.97400000000000009</v>
      </c>
      <c r="H57">
        <v>40</v>
      </c>
    </row>
    <row r="58" spans="4:8">
      <c r="D58">
        <v>15</v>
      </c>
      <c r="E58">
        <v>5.7</v>
      </c>
      <c r="F58">
        <v>0.999</v>
      </c>
      <c r="H58">
        <v>60</v>
      </c>
    </row>
    <row r="59" spans="4:8">
      <c r="D59">
        <v>15</v>
      </c>
      <c r="E59">
        <v>6.2</v>
      </c>
      <c r="F59">
        <v>0.999</v>
      </c>
      <c r="H59">
        <v>60</v>
      </c>
    </row>
    <row r="60" spans="4:8">
      <c r="D60">
        <v>20</v>
      </c>
      <c r="E60">
        <v>5.6</v>
      </c>
      <c r="F60">
        <v>0.999</v>
      </c>
      <c r="H60">
        <v>60</v>
      </c>
    </row>
    <row r="61" spans="4:8">
      <c r="D61">
        <v>25</v>
      </c>
      <c r="E61">
        <v>5.9</v>
      </c>
      <c r="F61">
        <v>0.999</v>
      </c>
      <c r="H61">
        <v>60</v>
      </c>
    </row>
    <row r="62" spans="4:8">
      <c r="D62">
        <v>30</v>
      </c>
      <c r="E62">
        <v>5.7</v>
      </c>
      <c r="F62">
        <v>0.999</v>
      </c>
      <c r="H62">
        <v>60</v>
      </c>
    </row>
    <row r="63" spans="4:8">
      <c r="D63">
        <v>20</v>
      </c>
      <c r="E63">
        <v>5.9</v>
      </c>
      <c r="F63">
        <v>0.98599999999999999</v>
      </c>
      <c r="H63">
        <v>60</v>
      </c>
    </row>
    <row r="64" spans="4:8">
      <c r="D64">
        <v>30</v>
      </c>
      <c r="E64">
        <v>6.1</v>
      </c>
      <c r="F64">
        <v>0.97400000000000009</v>
      </c>
      <c r="H64">
        <v>60</v>
      </c>
    </row>
    <row r="65" spans="4:16">
      <c r="D65">
        <v>25</v>
      </c>
      <c r="E65">
        <v>6.7</v>
      </c>
      <c r="F65">
        <v>0.98599999999999999</v>
      </c>
      <c r="H65">
        <v>60</v>
      </c>
    </row>
    <row r="66" spans="4:16">
      <c r="D66">
        <v>30</v>
      </c>
      <c r="E66">
        <v>6.2</v>
      </c>
      <c r="F66">
        <v>0.94700000000000006</v>
      </c>
      <c r="H66">
        <v>10</v>
      </c>
    </row>
    <row r="67" spans="4:16">
      <c r="D67">
        <v>25</v>
      </c>
      <c r="E67">
        <v>6.6</v>
      </c>
      <c r="F67">
        <v>0.94700000000000006</v>
      </c>
      <c r="H67">
        <v>20</v>
      </c>
    </row>
    <row r="68" spans="4:16">
      <c r="D68">
        <v>25</v>
      </c>
      <c r="E68">
        <v>5.9</v>
      </c>
      <c r="F68">
        <v>0.96099999999999997</v>
      </c>
      <c r="H68">
        <v>40</v>
      </c>
    </row>
    <row r="69" spans="4:16">
      <c r="D69">
        <v>25</v>
      </c>
      <c r="E69">
        <v>6.8</v>
      </c>
      <c r="F69">
        <v>0.96099999999999997</v>
      </c>
      <c r="H69">
        <v>40</v>
      </c>
    </row>
    <row r="70" spans="4:16">
      <c r="D70">
        <v>30</v>
      </c>
      <c r="E70">
        <v>6.9</v>
      </c>
      <c r="F70">
        <v>0.96099999999999997</v>
      </c>
      <c r="H70">
        <v>40</v>
      </c>
    </row>
    <row r="71" spans="4:16">
      <c r="D71">
        <v>13</v>
      </c>
      <c r="E71">
        <v>7</v>
      </c>
      <c r="F71">
        <v>0.94</v>
      </c>
      <c r="H71">
        <v>0</v>
      </c>
    </row>
    <row r="72" spans="4:16">
      <c r="D72">
        <v>7</v>
      </c>
      <c r="E72">
        <v>6</v>
      </c>
      <c r="F72">
        <v>0.98299999999999998</v>
      </c>
      <c r="H72">
        <v>0</v>
      </c>
    </row>
    <row r="73" spans="4:16">
      <c r="D73">
        <v>30</v>
      </c>
      <c r="E73">
        <v>7</v>
      </c>
      <c r="F73">
        <v>0.99900000000000011</v>
      </c>
      <c r="H73">
        <v>0</v>
      </c>
    </row>
    <row r="74" spans="4:16">
      <c r="D74">
        <v>22</v>
      </c>
      <c r="E74">
        <v>7</v>
      </c>
      <c r="F74">
        <v>0.99900000000000011</v>
      </c>
      <c r="H74">
        <v>0</v>
      </c>
    </row>
    <row r="75" spans="4:16">
      <c r="D75">
        <v>32</v>
      </c>
      <c r="E75">
        <v>6.4</v>
      </c>
      <c r="F75">
        <v>0.99900000000000011</v>
      </c>
      <c r="H75">
        <v>0</v>
      </c>
    </row>
    <row r="77" spans="4:16">
      <c r="D77" s="2" t="s">
        <v>235</v>
      </c>
    </row>
    <row r="78" spans="4:16">
      <c r="D78">
        <v>37</v>
      </c>
      <c r="E78">
        <v>6</v>
      </c>
      <c r="F78">
        <v>0.97400000000000009</v>
      </c>
      <c r="H78">
        <v>60</v>
      </c>
      <c r="L78"/>
      <c r="M78"/>
      <c r="N78"/>
      <c r="P78"/>
    </row>
    <row r="79" spans="4:16">
      <c r="D79">
        <v>37</v>
      </c>
      <c r="E79">
        <v>5.6</v>
      </c>
      <c r="F79">
        <v>0.999</v>
      </c>
      <c r="H79">
        <v>60</v>
      </c>
      <c r="L79"/>
      <c r="M79"/>
      <c r="N79"/>
      <c r="P79"/>
    </row>
    <row r="80" spans="4:16">
      <c r="D80">
        <v>37</v>
      </c>
      <c r="E80">
        <v>7</v>
      </c>
      <c r="F80">
        <v>0.999</v>
      </c>
      <c r="H80">
        <v>60</v>
      </c>
      <c r="L80"/>
      <c r="M80"/>
      <c r="N80"/>
      <c r="P80"/>
    </row>
    <row r="81" spans="4:20">
      <c r="D81">
        <v>37</v>
      </c>
      <c r="E81">
        <v>7</v>
      </c>
      <c r="F81">
        <v>0.97400000000000009</v>
      </c>
      <c r="H81">
        <v>60</v>
      </c>
      <c r="L81"/>
      <c r="M81"/>
      <c r="N81"/>
      <c r="P81"/>
    </row>
    <row r="82" spans="4:20">
      <c r="D82">
        <v>37</v>
      </c>
      <c r="E82">
        <v>5.9</v>
      </c>
      <c r="F82">
        <v>0.96099999999999997</v>
      </c>
      <c r="H82">
        <v>40</v>
      </c>
      <c r="L82"/>
      <c r="M82"/>
      <c r="N82"/>
      <c r="P82"/>
    </row>
    <row r="83" spans="4:20">
      <c r="D83">
        <v>10</v>
      </c>
      <c r="E83">
        <v>6.8</v>
      </c>
      <c r="F83">
        <v>0.999</v>
      </c>
      <c r="H83">
        <v>80</v>
      </c>
      <c r="L83"/>
      <c r="M83"/>
      <c r="N83"/>
      <c r="P83"/>
    </row>
    <row r="84" spans="4:20">
      <c r="D84">
        <v>15</v>
      </c>
      <c r="E84">
        <v>6.1</v>
      </c>
      <c r="F84">
        <v>0.99199999999999999</v>
      </c>
      <c r="H84">
        <v>80</v>
      </c>
      <c r="L84"/>
      <c r="M84"/>
      <c r="N84"/>
      <c r="P84"/>
    </row>
    <row r="85" spans="4:20">
      <c r="D85">
        <v>15</v>
      </c>
      <c r="E85">
        <v>6.5</v>
      </c>
      <c r="F85">
        <v>0.98</v>
      </c>
      <c r="H85">
        <v>80</v>
      </c>
      <c r="L85"/>
      <c r="M85"/>
      <c r="N85"/>
      <c r="P85"/>
    </row>
    <row r="86" spans="4:20">
      <c r="D86">
        <v>15</v>
      </c>
      <c r="E86">
        <v>6.8</v>
      </c>
      <c r="F86">
        <v>0.98599999999999999</v>
      </c>
      <c r="H86">
        <v>80</v>
      </c>
      <c r="L86"/>
      <c r="M86"/>
      <c r="N86"/>
      <c r="P86"/>
    </row>
    <row r="87" spans="4:20">
      <c r="D87">
        <v>20</v>
      </c>
      <c r="E87">
        <v>6.5</v>
      </c>
      <c r="F87">
        <v>0.96099999999999997</v>
      </c>
      <c r="H87">
        <v>80</v>
      </c>
      <c r="L87"/>
      <c r="M87"/>
      <c r="N87"/>
      <c r="P87"/>
    </row>
    <row r="88" spans="4:20">
      <c r="D88">
        <v>22</v>
      </c>
      <c r="E88">
        <v>5</v>
      </c>
      <c r="F88">
        <v>0.995</v>
      </c>
      <c r="H88">
        <v>78.900000000000006</v>
      </c>
      <c r="L88"/>
      <c r="M88"/>
      <c r="N88"/>
      <c r="P88"/>
    </row>
    <row r="89" spans="4:20">
      <c r="D89">
        <v>22</v>
      </c>
      <c r="E89">
        <v>6</v>
      </c>
      <c r="F89">
        <v>0.97399999999999998</v>
      </c>
      <c r="H89">
        <v>96.2</v>
      </c>
      <c r="L89"/>
      <c r="M89"/>
      <c r="N89"/>
      <c r="P89"/>
    </row>
    <row r="90" spans="4:20">
      <c r="D90">
        <v>25</v>
      </c>
      <c r="E90">
        <v>6.7</v>
      </c>
      <c r="F90">
        <v>0.96099999999999997</v>
      </c>
      <c r="H90">
        <v>80</v>
      </c>
      <c r="L90"/>
      <c r="M90"/>
      <c r="N90"/>
      <c r="P90"/>
    </row>
    <row r="91" spans="4:20">
      <c r="D91">
        <v>28</v>
      </c>
      <c r="E91">
        <v>5</v>
      </c>
      <c r="F91">
        <v>0.995</v>
      </c>
      <c r="H91">
        <v>99.5</v>
      </c>
      <c r="L91"/>
      <c r="M91"/>
      <c r="N91"/>
      <c r="P91"/>
    </row>
    <row r="92" spans="4:20">
      <c r="D92">
        <v>28</v>
      </c>
      <c r="E92">
        <v>6</v>
      </c>
      <c r="F92">
        <v>0.97399999999999998</v>
      </c>
      <c r="H92">
        <v>99.6</v>
      </c>
      <c r="L92"/>
      <c r="M92"/>
      <c r="N92"/>
      <c r="P92"/>
    </row>
    <row r="93" spans="4:20">
      <c r="D93">
        <v>30</v>
      </c>
      <c r="E93">
        <v>5.7</v>
      </c>
      <c r="F93">
        <v>0.999</v>
      </c>
      <c r="H93">
        <v>80</v>
      </c>
      <c r="L93"/>
      <c r="M93"/>
      <c r="N93"/>
      <c r="P93"/>
    </row>
    <row r="94" spans="4:20">
      <c r="D94">
        <v>30</v>
      </c>
      <c r="E94">
        <v>5.9</v>
      </c>
      <c r="F94">
        <v>0.95299999999999996</v>
      </c>
      <c r="H94">
        <v>80</v>
      </c>
      <c r="L94"/>
      <c r="M94"/>
      <c r="N94"/>
      <c r="P94"/>
    </row>
    <row r="95" spans="4:20">
      <c r="D95">
        <v>25</v>
      </c>
      <c r="E95">
        <v>4.9000000000000004</v>
      </c>
      <c r="F95">
        <v>0.96099999999999997</v>
      </c>
      <c r="H95">
        <v>0</v>
      </c>
      <c r="L95"/>
      <c r="M95"/>
      <c r="N95"/>
      <c r="P95"/>
      <c r="R95"/>
      <c r="S95"/>
      <c r="T95"/>
    </row>
    <row r="96" spans="4:20">
      <c r="D96">
        <v>37</v>
      </c>
      <c r="E96">
        <v>5</v>
      </c>
      <c r="F96">
        <v>0.99900000000000011</v>
      </c>
      <c r="H96">
        <v>0</v>
      </c>
      <c r="L96"/>
      <c r="M96"/>
      <c r="N96"/>
      <c r="P96"/>
      <c r="R96"/>
      <c r="S96"/>
      <c r="T96"/>
    </row>
    <row r="97" spans="4:20">
      <c r="D97">
        <v>37</v>
      </c>
      <c r="E97">
        <v>4.9000000000000004</v>
      </c>
      <c r="F97">
        <v>0.96099999999999997</v>
      </c>
      <c r="H97">
        <v>0</v>
      </c>
      <c r="L97"/>
      <c r="M97"/>
      <c r="N97"/>
      <c r="P97"/>
      <c r="R97"/>
      <c r="S97"/>
      <c r="T97"/>
    </row>
    <row r="98" spans="4:20">
      <c r="D98">
        <v>37</v>
      </c>
      <c r="E98">
        <v>4.9000000000000004</v>
      </c>
      <c r="F98">
        <v>0.999</v>
      </c>
      <c r="H98">
        <v>0</v>
      </c>
      <c r="L98"/>
      <c r="M98"/>
      <c r="N98"/>
      <c r="P98"/>
      <c r="R98"/>
      <c r="S98"/>
      <c r="T98"/>
    </row>
    <row r="99" spans="4:20">
      <c r="D99">
        <v>37</v>
      </c>
      <c r="E99">
        <v>7</v>
      </c>
      <c r="F99">
        <v>0.99900000000000011</v>
      </c>
      <c r="H99">
        <v>0</v>
      </c>
      <c r="L99"/>
      <c r="M99"/>
      <c r="N99"/>
      <c r="P99"/>
      <c r="R99"/>
      <c r="S99"/>
      <c r="T99"/>
    </row>
    <row r="100" spans="4:20">
      <c r="D100">
        <v>30</v>
      </c>
      <c r="E100">
        <v>4.3</v>
      </c>
      <c r="F100">
        <v>0.999</v>
      </c>
      <c r="H100">
        <v>0</v>
      </c>
      <c r="L100"/>
      <c r="M100"/>
      <c r="N100"/>
      <c r="P100"/>
      <c r="R100"/>
      <c r="S100"/>
      <c r="T100"/>
    </row>
    <row r="101" spans="4:20">
      <c r="D101">
        <v>16</v>
      </c>
      <c r="E101">
        <v>4.5</v>
      </c>
      <c r="F101">
        <v>0.999</v>
      </c>
      <c r="H101">
        <v>0</v>
      </c>
      <c r="L101"/>
      <c r="M101"/>
      <c r="N101"/>
      <c r="P101"/>
      <c r="R101"/>
      <c r="S101"/>
      <c r="T101"/>
    </row>
    <row r="102" spans="4:20">
      <c r="D102">
        <v>34</v>
      </c>
      <c r="E102">
        <v>4.5</v>
      </c>
      <c r="F102">
        <v>0.999</v>
      </c>
      <c r="H102">
        <v>0</v>
      </c>
      <c r="L102"/>
      <c r="M102"/>
      <c r="N102"/>
      <c r="P102"/>
      <c r="R102"/>
      <c r="S102"/>
      <c r="T102"/>
    </row>
    <row r="103" spans="4:20">
      <c r="D103">
        <v>21</v>
      </c>
      <c r="E103">
        <v>4.7</v>
      </c>
      <c r="F103">
        <v>0.97400000000000009</v>
      </c>
      <c r="H103">
        <v>0</v>
      </c>
      <c r="L103"/>
      <c r="M103"/>
      <c r="N103"/>
      <c r="P103"/>
      <c r="R103"/>
      <c r="S103"/>
      <c r="T103"/>
    </row>
    <row r="104" spans="4:20">
      <c r="D104">
        <v>5</v>
      </c>
      <c r="E104">
        <v>5</v>
      </c>
      <c r="F104">
        <v>0.98299999999999998</v>
      </c>
      <c r="H104">
        <v>0</v>
      </c>
      <c r="L104"/>
      <c r="M104"/>
      <c r="N104"/>
      <c r="P104"/>
      <c r="R104"/>
      <c r="S104"/>
      <c r="T104"/>
    </row>
    <row r="105" spans="4:20">
      <c r="D105">
        <v>5</v>
      </c>
      <c r="E105">
        <v>5</v>
      </c>
      <c r="F105">
        <v>0.995</v>
      </c>
      <c r="H105">
        <v>0</v>
      </c>
      <c r="L105"/>
      <c r="M105"/>
      <c r="N105"/>
      <c r="P105"/>
      <c r="R105"/>
      <c r="S105"/>
      <c r="T105"/>
    </row>
    <row r="106" spans="4:20">
      <c r="D106">
        <v>5</v>
      </c>
      <c r="E106">
        <v>5.5</v>
      </c>
      <c r="F106">
        <v>0.97699999999999998</v>
      </c>
      <c r="H106">
        <v>0</v>
      </c>
      <c r="L106"/>
      <c r="M106"/>
      <c r="N106"/>
      <c r="P106"/>
      <c r="R106"/>
      <c r="S106"/>
      <c r="T106"/>
    </row>
    <row r="107" spans="4:20">
      <c r="D107">
        <v>42</v>
      </c>
      <c r="E107">
        <v>5.5</v>
      </c>
      <c r="F107">
        <v>0.98599999999999999</v>
      </c>
      <c r="H107">
        <v>0</v>
      </c>
      <c r="L107"/>
      <c r="M107"/>
      <c r="N107"/>
      <c r="P107"/>
      <c r="R107"/>
      <c r="S107"/>
      <c r="T107"/>
    </row>
    <row r="108" spans="4:20">
      <c r="D108">
        <v>45</v>
      </c>
      <c r="E108">
        <v>6</v>
      </c>
      <c r="F108">
        <v>0.9890000000000001</v>
      </c>
      <c r="H108">
        <v>0</v>
      </c>
      <c r="L108"/>
      <c r="M108"/>
      <c r="N108"/>
      <c r="P108"/>
      <c r="R108"/>
      <c r="S108"/>
      <c r="T108"/>
    </row>
    <row r="109" spans="4:20">
      <c r="D109">
        <v>28</v>
      </c>
      <c r="E109">
        <v>6.4</v>
      </c>
      <c r="F109">
        <v>0.9</v>
      </c>
      <c r="H109">
        <v>0</v>
      </c>
      <c r="L109"/>
      <c r="M109"/>
      <c r="N109"/>
      <c r="P109"/>
      <c r="R109"/>
      <c r="S109"/>
      <c r="T109"/>
    </row>
    <row r="110" spans="4:20">
      <c r="D110">
        <v>28</v>
      </c>
      <c r="E110">
        <v>7</v>
      </c>
      <c r="F110">
        <v>0.89400000000000002</v>
      </c>
      <c r="H110">
        <v>0</v>
      </c>
      <c r="L110"/>
      <c r="M110"/>
      <c r="N110"/>
      <c r="P110"/>
      <c r="R110"/>
      <c r="S110"/>
      <c r="T110"/>
    </row>
    <row r="111" spans="4:20">
      <c r="D111">
        <v>34</v>
      </c>
      <c r="E111">
        <v>7</v>
      </c>
      <c r="F111">
        <v>0.89400000000000002</v>
      </c>
      <c r="H111">
        <v>0</v>
      </c>
      <c r="L111"/>
      <c r="M111"/>
      <c r="N111"/>
      <c r="P111"/>
      <c r="R111"/>
      <c r="S111"/>
      <c r="T111"/>
    </row>
    <row r="112" spans="4:20">
      <c r="D112">
        <v>5</v>
      </c>
      <c r="E112">
        <v>7</v>
      </c>
      <c r="F112">
        <v>0.98599999999999999</v>
      </c>
      <c r="H112">
        <v>0</v>
      </c>
      <c r="L112"/>
      <c r="M112"/>
      <c r="N112"/>
      <c r="P112"/>
      <c r="R112"/>
      <c r="S112"/>
      <c r="T112"/>
    </row>
    <row r="113" spans="4:20">
      <c r="D113">
        <v>16</v>
      </c>
      <c r="E113">
        <v>7.1</v>
      </c>
      <c r="F113">
        <v>0.92</v>
      </c>
      <c r="H113">
        <v>0</v>
      </c>
      <c r="L113"/>
      <c r="M113"/>
      <c r="N113"/>
      <c r="P113"/>
      <c r="R113"/>
      <c r="S113"/>
      <c r="T113"/>
    </row>
    <row r="114" spans="4:20">
      <c r="D114">
        <v>5</v>
      </c>
      <c r="E114">
        <v>7.3</v>
      </c>
      <c r="F114">
        <v>0.999</v>
      </c>
      <c r="H114">
        <v>0</v>
      </c>
      <c r="L114"/>
      <c r="M114"/>
      <c r="N114"/>
      <c r="P114"/>
      <c r="R114"/>
      <c r="S114"/>
      <c r="T114"/>
    </row>
    <row r="115" spans="4:20">
      <c r="D115">
        <v>46</v>
      </c>
      <c r="E115">
        <v>7.4</v>
      </c>
      <c r="F115">
        <v>0.97099999999999997</v>
      </c>
      <c r="H115">
        <v>0</v>
      </c>
      <c r="L115"/>
      <c r="M115"/>
      <c r="N115"/>
      <c r="P115"/>
      <c r="R115"/>
      <c r="S115"/>
      <c r="T115"/>
    </row>
    <row r="116" spans="4:20">
      <c r="D116">
        <v>50</v>
      </c>
      <c r="E116">
        <v>7.4</v>
      </c>
      <c r="F116">
        <v>0.999</v>
      </c>
      <c r="H116">
        <v>0</v>
      </c>
      <c r="L116"/>
      <c r="M116"/>
      <c r="N116"/>
      <c r="P116"/>
      <c r="R116"/>
      <c r="S116"/>
      <c r="T116"/>
    </row>
    <row r="117" spans="4:20">
      <c r="D117">
        <v>30</v>
      </c>
      <c r="E117">
        <v>8.8000000000000007</v>
      </c>
      <c r="F117">
        <v>0.999</v>
      </c>
      <c r="H117">
        <v>0</v>
      </c>
      <c r="L117"/>
      <c r="M117"/>
      <c r="N117"/>
      <c r="P117"/>
      <c r="R117"/>
      <c r="S117"/>
      <c r="T117"/>
    </row>
    <row r="118" spans="4:20">
      <c r="D118">
        <v>21</v>
      </c>
      <c r="E118">
        <v>9.9</v>
      </c>
      <c r="F118">
        <v>0.95400000000000007</v>
      </c>
      <c r="H118">
        <v>0</v>
      </c>
      <c r="L118"/>
      <c r="M118"/>
      <c r="N118"/>
      <c r="P118"/>
      <c r="R118"/>
      <c r="S118"/>
      <c r="T118"/>
    </row>
    <row r="119" spans="4:20">
      <c r="D119">
        <v>5</v>
      </c>
      <c r="E119">
        <v>7</v>
      </c>
      <c r="F119">
        <v>0.99900000000000011</v>
      </c>
      <c r="H119">
        <v>0</v>
      </c>
      <c r="L119"/>
      <c r="M119"/>
      <c r="N119"/>
      <c r="P119"/>
      <c r="R119"/>
      <c r="S119"/>
      <c r="T119"/>
    </row>
    <row r="120" spans="4:20">
      <c r="D120">
        <v>5</v>
      </c>
      <c r="E120">
        <v>6</v>
      </c>
      <c r="F120">
        <v>0.99900000000000011</v>
      </c>
      <c r="H120">
        <v>0</v>
      </c>
      <c r="L120"/>
      <c r="M120"/>
      <c r="N120"/>
      <c r="P120"/>
      <c r="R120"/>
      <c r="S120"/>
      <c r="T120"/>
    </row>
    <row r="121" spans="4:20">
      <c r="D121">
        <v>10</v>
      </c>
      <c r="E121">
        <v>5</v>
      </c>
      <c r="F121">
        <v>0.99900000000000011</v>
      </c>
      <c r="H121">
        <v>0</v>
      </c>
      <c r="L121"/>
      <c r="M121"/>
      <c r="N121"/>
      <c r="P121"/>
      <c r="R121"/>
      <c r="S121"/>
      <c r="T121"/>
    </row>
    <row r="122" spans="4:20">
      <c r="D122"/>
      <c r="E122"/>
      <c r="F122"/>
      <c r="H122"/>
      <c r="L122"/>
      <c r="M122"/>
      <c r="N122"/>
      <c r="P122"/>
      <c r="R122"/>
      <c r="S122"/>
      <c r="T122"/>
    </row>
    <row r="123" spans="4:20">
      <c r="D123" s="2" t="s">
        <v>236</v>
      </c>
    </row>
    <row r="124" spans="4:20">
      <c r="D124" s="2">
        <v>0</v>
      </c>
      <c r="E124" s="2">
        <v>4</v>
      </c>
      <c r="F124" s="2">
        <v>1</v>
      </c>
      <c r="H124" s="2">
        <v>0</v>
      </c>
    </row>
    <row r="125" spans="4:20">
      <c r="D125" s="2">
        <v>0</v>
      </c>
      <c r="E125" s="2">
        <v>11</v>
      </c>
      <c r="F125" s="2">
        <v>1</v>
      </c>
      <c r="H125" s="2">
        <v>0</v>
      </c>
    </row>
    <row r="126" spans="4:20">
      <c r="D126" s="2">
        <v>0</v>
      </c>
      <c r="E126" s="2">
        <v>11</v>
      </c>
      <c r="F126" s="2">
        <v>0.86</v>
      </c>
      <c r="H126" s="2">
        <v>0</v>
      </c>
    </row>
    <row r="127" spans="4:20">
      <c r="D127" s="2">
        <v>55</v>
      </c>
      <c r="E127" s="2">
        <v>4</v>
      </c>
      <c r="F127" s="2">
        <v>1</v>
      </c>
      <c r="H127" s="2">
        <v>0</v>
      </c>
    </row>
    <row r="128" spans="4:20">
      <c r="D128" s="2">
        <v>55</v>
      </c>
      <c r="E128" s="2">
        <v>4</v>
      </c>
      <c r="F128" s="2">
        <v>0.86</v>
      </c>
      <c r="H128" s="2">
        <v>0</v>
      </c>
    </row>
    <row r="129" spans="4:8">
      <c r="D129" s="2">
        <v>55</v>
      </c>
      <c r="E129" s="2">
        <v>11</v>
      </c>
      <c r="F129" s="2">
        <v>1</v>
      </c>
      <c r="H129" s="2">
        <v>0</v>
      </c>
    </row>
    <row r="130" spans="4:8">
      <c r="D130" s="2">
        <v>0</v>
      </c>
      <c r="E130" s="2">
        <v>4</v>
      </c>
      <c r="F130" s="2">
        <v>1</v>
      </c>
      <c r="H130" s="2">
        <v>100</v>
      </c>
    </row>
    <row r="131" spans="4:8">
      <c r="D131" s="2">
        <v>0</v>
      </c>
      <c r="E131" s="2">
        <v>11</v>
      </c>
      <c r="F131" s="2">
        <v>0.86</v>
      </c>
      <c r="H131" s="2">
        <v>100</v>
      </c>
    </row>
    <row r="132" spans="4:8">
      <c r="D132" s="2">
        <v>55</v>
      </c>
      <c r="E132" s="2">
        <v>4</v>
      </c>
      <c r="F132" s="2">
        <v>1</v>
      </c>
      <c r="H132" s="2">
        <v>100</v>
      </c>
    </row>
    <row r="133" spans="4:8">
      <c r="D133" s="2">
        <v>55</v>
      </c>
      <c r="E133" s="2">
        <v>11</v>
      </c>
      <c r="F133" s="2">
        <v>1</v>
      </c>
      <c r="H133" s="2">
        <v>100</v>
      </c>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87"/>
  <sheetViews>
    <sheetView workbookViewId="0">
      <selection activeCell="E28" sqref="E28"/>
    </sheetView>
  </sheetViews>
  <sheetFormatPr defaultColWidth="8.875" defaultRowHeight="12.75"/>
  <cols>
    <col min="1" max="1" width="8.375" style="2" customWidth="1"/>
    <col min="2" max="2" width="12.5" style="2" customWidth="1"/>
    <col min="3" max="3" width="8.875" style="2" customWidth="1"/>
    <col min="4" max="4" width="7.25" style="2" customWidth="1"/>
    <col min="5" max="5" width="6.875" style="2" customWidth="1"/>
    <col min="6" max="6" width="5.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3" t="str">
        <f>Orgs!B5</f>
        <v>Bacillus licheniformis</v>
      </c>
    </row>
    <row r="2" spans="1:15" s="24" customFormat="1" ht="14.25">
      <c r="A2" s="26"/>
      <c r="B2" s="27"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0">
        <v>3</v>
      </c>
      <c r="C3" s="75">
        <f>EXP(-11.5)</f>
        <v>1.0130093598630711E-5</v>
      </c>
      <c r="D3" s="30">
        <v>20</v>
      </c>
      <c r="E3" s="30">
        <v>7</v>
      </c>
      <c r="F3" s="32" t="s">
        <v>201</v>
      </c>
      <c r="G3" s="30">
        <v>0.5</v>
      </c>
      <c r="H3" s="30"/>
      <c r="I3" s="30"/>
      <c r="J3" s="30"/>
      <c r="K3" s="30"/>
      <c r="L3" s="30"/>
      <c r="M3" s="30"/>
      <c r="N3" s="30"/>
      <c r="O3" s="33"/>
    </row>
    <row r="4" spans="1:15">
      <c r="A4" s="29" t="s">
        <v>202</v>
      </c>
      <c r="B4" s="30"/>
      <c r="C4" s="34"/>
      <c r="D4" s="30">
        <v>13</v>
      </c>
      <c r="E4" s="30">
        <v>4</v>
      </c>
      <c r="F4" s="30"/>
      <c r="G4" s="30">
        <v>0</v>
      </c>
      <c r="H4" s="30"/>
      <c r="I4" s="30"/>
      <c r="J4" s="30"/>
      <c r="K4" s="30"/>
      <c r="L4" s="30"/>
      <c r="M4" s="30"/>
      <c r="N4" s="30"/>
      <c r="O4" s="33"/>
    </row>
    <row r="5" spans="1:15" ht="13.5" thickBot="1">
      <c r="A5" s="35" t="s">
        <v>203</v>
      </c>
      <c r="B5" s="36"/>
      <c r="C5" s="37"/>
      <c r="D5" s="36">
        <v>34</v>
      </c>
      <c r="E5" s="36">
        <v>7.6</v>
      </c>
      <c r="F5" s="36"/>
      <c r="G5" s="36">
        <v>13.5</v>
      </c>
      <c r="H5" s="36"/>
      <c r="I5" s="36"/>
      <c r="J5" s="36"/>
      <c r="K5" s="36"/>
      <c r="L5" s="36"/>
      <c r="M5" s="36"/>
      <c r="N5" s="36"/>
      <c r="O5" s="38"/>
    </row>
    <row r="6" spans="1:15" ht="13.5" thickBot="1">
      <c r="A6"/>
      <c r="C6" s="25"/>
    </row>
    <row r="7" spans="1:15">
      <c r="A7" s="39"/>
      <c r="B7" s="27"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c r="B8" s="41">
        <v>31010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c r="A9" s="2" t="s">
        <v>212</v>
      </c>
      <c r="D9" s="2">
        <v>3</v>
      </c>
      <c r="E9" s="2">
        <v>0.8</v>
      </c>
      <c r="F9" s="2">
        <v>0.02</v>
      </c>
    </row>
    <row r="10" spans="1:15" ht="14.25">
      <c r="A10" s="39"/>
      <c r="B10" s="53" t="s">
        <v>213</v>
      </c>
      <c r="C10" s="27"/>
      <c r="D10" s="27"/>
      <c r="E10" s="43"/>
      <c r="F10" s="43"/>
      <c r="G10" s="44"/>
      <c r="H10" s="56" t="s">
        <v>214</v>
      </c>
      <c r="I10" s="45"/>
    </row>
    <row r="11" spans="1:15">
      <c r="A11" s="29" t="s">
        <v>215</v>
      </c>
      <c r="B11" s="32">
        <v>0.39</v>
      </c>
      <c r="C11" s="46"/>
      <c r="D11" s="30"/>
      <c r="E11" s="30"/>
      <c r="F11" s="30"/>
      <c r="G11" s="47"/>
      <c r="H11" s="30"/>
      <c r="I11" s="33"/>
    </row>
    <row r="12" spans="1:15" ht="13.5" thickBot="1">
      <c r="A12" s="35" t="s">
        <v>216</v>
      </c>
      <c r="B12" s="48" t="str">
        <f>" =EXP("&amp;B14&amp;"*("&amp;C14&amp;")+"&amp;B15&amp;"*("&amp;C15&amp;")+"&amp;B16&amp;"*("&amp;C16&amp;")+"&amp;B17&amp;"*("&amp;C17&amp;")+"&amp;B18&amp;"*("&amp;C18&amp;")+"&amp;B19&amp;"*("&amp;C19&amp;")+"&amp;B20&amp;"*("&amp;C20&amp;")+"&amp;B21&amp;"*("&amp;C21&amp;")+"&amp;B22&amp;"*("&amp;C22&amp;")+"&amp;B23&amp;"*("&amp;C23&amp;"))"</f>
        <v xml:space="preserve"> =EXP(1*(-24.24)+tr*(0.4651)+pr*(5.079)+bw*(-10.4)+tr*pr*(-0.004341)+tr*bw*(0.105)+pr*bw*(2.288)+tr^2*(-0.005992)+pr^2*(-0.3765)+bw^2*(-54.43))</v>
      </c>
      <c r="C12" s="49"/>
      <c r="D12" s="50"/>
      <c r="E12" s="49"/>
      <c r="F12" s="50"/>
      <c r="G12" s="51"/>
      <c r="H12" s="36">
        <f>18.27/2.3</f>
        <v>7.9434782608695658</v>
      </c>
      <c r="I12" s="38"/>
    </row>
    <row r="14" spans="1:15">
      <c r="A14" s="1">
        <v>1</v>
      </c>
      <c r="B14" s="24">
        <v>1</v>
      </c>
      <c r="C14" s="2">
        <v>-24.24</v>
      </c>
      <c r="D14"/>
      <c r="E14" s="4"/>
    </row>
    <row r="15" spans="1:15">
      <c r="A15" s="1">
        <v>20</v>
      </c>
      <c r="B15" s="24" t="s">
        <v>45</v>
      </c>
      <c r="C15" s="2">
        <v>0.46510000000000001</v>
      </c>
      <c r="E15" s="4"/>
    </row>
    <row r="16" spans="1:15">
      <c r="A16" s="1">
        <v>7</v>
      </c>
      <c r="B16" s="24" t="s">
        <v>46</v>
      </c>
      <c r="C16" s="2">
        <v>5.0789999999999997</v>
      </c>
    </row>
    <row r="17" spans="1:6">
      <c r="A17" s="1">
        <v>0.5</v>
      </c>
      <c r="B17" s="24" t="s">
        <v>47</v>
      </c>
      <c r="C17" s="2">
        <v>-10.4</v>
      </c>
    </row>
    <row r="18" spans="1:6">
      <c r="A18" s="1">
        <f>A$15*A$16</f>
        <v>140</v>
      </c>
      <c r="B18" s="24" t="s">
        <v>222</v>
      </c>
      <c r="C18" s="2">
        <v>-4.3410000000000002E-3</v>
      </c>
    </row>
    <row r="19" spans="1:6">
      <c r="A19" s="1">
        <f>A$15*A$17</f>
        <v>10</v>
      </c>
      <c r="B19" s="24" t="s">
        <v>225</v>
      </c>
      <c r="C19" s="2">
        <v>0.105</v>
      </c>
    </row>
    <row r="20" spans="1:6">
      <c r="A20" s="1">
        <f>A$16*A$17</f>
        <v>3.5</v>
      </c>
      <c r="B20" s="24" t="s">
        <v>227</v>
      </c>
      <c r="C20" s="2">
        <v>2.2879999999999998</v>
      </c>
    </row>
    <row r="21" spans="1:6">
      <c r="A21" s="1">
        <f>A$15^2</f>
        <v>400</v>
      </c>
      <c r="B21" s="24" t="s">
        <v>229</v>
      </c>
      <c r="C21" s="2">
        <v>-5.9919999999999999E-3</v>
      </c>
    </row>
    <row r="22" spans="1:6">
      <c r="A22" s="1">
        <f>A$16^2</f>
        <v>49</v>
      </c>
      <c r="B22" s="24" t="s">
        <v>231</v>
      </c>
      <c r="C22" s="2">
        <v>-0.3765</v>
      </c>
    </row>
    <row r="23" spans="1:6">
      <c r="A23" s="1">
        <f>A$17^2</f>
        <v>0.25</v>
      </c>
      <c r="B23" s="24" t="s">
        <v>233</v>
      </c>
      <c r="C23" s="2">
        <v>-54.43</v>
      </c>
    </row>
    <row r="24" spans="1:6">
      <c r="A24" s="1"/>
      <c r="B24" s="24"/>
    </row>
    <row r="25" spans="1:6">
      <c r="A25" s="1"/>
      <c r="B25" s="24"/>
    </row>
    <row r="26" spans="1:6">
      <c r="A26" s="1"/>
      <c r="B26" s="24"/>
    </row>
    <row r="27" spans="1:6">
      <c r="A27" s="1"/>
      <c r="B27" s="24"/>
    </row>
    <row r="28" spans="1:6">
      <c r="A28" s="1"/>
      <c r="B28" s="24"/>
    </row>
    <row r="30" spans="1:6">
      <c r="D30" s="124" t="s">
        <v>234</v>
      </c>
    </row>
    <row r="31" spans="1:6">
      <c r="D31" s="131">
        <v>13</v>
      </c>
      <c r="E31" s="131">
        <v>7.1</v>
      </c>
      <c r="F31" s="131">
        <v>0.96</v>
      </c>
    </row>
    <row r="32" spans="1:6">
      <c r="D32" s="131">
        <v>34</v>
      </c>
      <c r="E32" s="131">
        <v>4.5999999999999996</v>
      </c>
      <c r="F32" s="131">
        <v>0.98</v>
      </c>
    </row>
    <row r="33" spans="4:6">
      <c r="D33" s="131">
        <v>16</v>
      </c>
      <c r="E33" s="131">
        <v>7.2</v>
      </c>
      <c r="F33" s="131">
        <v>0.96</v>
      </c>
    </row>
    <row r="34" spans="4:6">
      <c r="D34" s="131">
        <v>13</v>
      </c>
      <c r="E34" s="131">
        <v>7.1</v>
      </c>
      <c r="F34" s="131">
        <v>0.999</v>
      </c>
    </row>
    <row r="35" spans="4:6">
      <c r="D35" s="131">
        <v>13</v>
      </c>
      <c r="E35" s="131">
        <v>5.6</v>
      </c>
      <c r="F35" s="131">
        <v>0.999</v>
      </c>
    </row>
    <row r="36" spans="4:6">
      <c r="D36" s="131">
        <v>34</v>
      </c>
      <c r="E36" s="131">
        <v>7.6</v>
      </c>
      <c r="F36" s="131">
        <v>0.999</v>
      </c>
    </row>
    <row r="37" spans="4:6">
      <c r="D37" s="131">
        <v>34</v>
      </c>
      <c r="E37" s="131">
        <v>4.4000000000000004</v>
      </c>
      <c r="F37" s="131">
        <v>0.995</v>
      </c>
    </row>
    <row r="38" spans="4:6">
      <c r="D38" s="131">
        <v>16</v>
      </c>
      <c r="E38" s="131">
        <v>4.5</v>
      </c>
      <c r="F38" s="131">
        <v>0.999</v>
      </c>
    </row>
    <row r="39" spans="4:6">
      <c r="D39" s="131">
        <v>16</v>
      </c>
      <c r="E39" s="131">
        <v>5</v>
      </c>
      <c r="F39" s="131">
        <v>0.96900000000000008</v>
      </c>
    </row>
    <row r="40" spans="4:6">
      <c r="D40" s="131">
        <v>13</v>
      </c>
      <c r="E40" s="131">
        <v>5.5</v>
      </c>
      <c r="F40" s="131">
        <v>0.99199999999999999</v>
      </c>
    </row>
    <row r="41" spans="4:6">
      <c r="D41" s="131">
        <v>28</v>
      </c>
      <c r="E41" s="131">
        <v>6</v>
      </c>
      <c r="F41" s="131">
        <v>0.90700000000000003</v>
      </c>
    </row>
    <row r="42" spans="4:6">
      <c r="D42" s="131">
        <v>22</v>
      </c>
      <c r="E42" s="131">
        <v>7</v>
      </c>
      <c r="F42" s="131">
        <v>0.90700000000000003</v>
      </c>
    </row>
    <row r="43" spans="4:6">
      <c r="D43" s="131">
        <v>16</v>
      </c>
      <c r="E43" s="131">
        <v>7</v>
      </c>
      <c r="F43" s="131">
        <v>0.93299999999999994</v>
      </c>
    </row>
    <row r="44" spans="4:6">
      <c r="D44" s="131">
        <v>34</v>
      </c>
      <c r="E44" s="131">
        <v>4.8</v>
      </c>
      <c r="F44" s="131">
        <v>0.96900000000000008</v>
      </c>
    </row>
    <row r="45" spans="4:6">
      <c r="D45" s="131">
        <v>28</v>
      </c>
      <c r="E45" s="131">
        <v>5</v>
      </c>
      <c r="F45" s="131">
        <v>0.93299999999999994</v>
      </c>
    </row>
    <row r="46" spans="4:6">
      <c r="D46" s="131">
        <v>34</v>
      </c>
      <c r="E46" s="131">
        <v>5.5</v>
      </c>
      <c r="F46" s="131">
        <v>0.93299999999999994</v>
      </c>
    </row>
    <row r="47" spans="4:6">
      <c r="D47" s="131">
        <v>34</v>
      </c>
      <c r="E47" s="131">
        <v>7</v>
      </c>
      <c r="F47" s="131">
        <v>0.90700000000000003</v>
      </c>
    </row>
    <row r="48" spans="4:6">
      <c r="D48" s="131">
        <v>34</v>
      </c>
      <c r="E48" s="131">
        <v>6</v>
      </c>
      <c r="F48" s="131">
        <v>0.90700000000000003</v>
      </c>
    </row>
    <row r="49" spans="4:10">
      <c r="D49" s="131">
        <v>28</v>
      </c>
      <c r="E49" s="131">
        <v>7.1</v>
      </c>
      <c r="F49" s="131">
        <v>0.90700000000000003</v>
      </c>
    </row>
    <row r="50" spans="4:10">
      <c r="D50" s="131">
        <v>28</v>
      </c>
      <c r="E50" s="131">
        <v>4</v>
      </c>
      <c r="F50" s="131">
        <v>0.98599999999999999</v>
      </c>
    </row>
    <row r="52" spans="4:10">
      <c r="D52" s="2" t="s">
        <v>235</v>
      </c>
    </row>
    <row r="53" spans="4:10">
      <c r="D53">
        <v>16</v>
      </c>
      <c r="E53">
        <v>7.2</v>
      </c>
      <c r="F53">
        <v>0.999</v>
      </c>
      <c r="H53"/>
      <c r="I53"/>
      <c r="J53"/>
    </row>
    <row r="54" spans="4:10">
      <c r="D54">
        <v>37</v>
      </c>
      <c r="E54">
        <v>7.6</v>
      </c>
      <c r="F54">
        <v>0.999</v>
      </c>
      <c r="H54"/>
      <c r="I54"/>
      <c r="J54"/>
    </row>
    <row r="55" spans="4:10">
      <c r="D55">
        <v>37</v>
      </c>
      <c r="E55">
        <v>5</v>
      </c>
      <c r="F55">
        <v>0.93299999999999994</v>
      </c>
      <c r="H55"/>
      <c r="I55"/>
      <c r="J55"/>
    </row>
    <row r="56" spans="4:10">
      <c r="D56">
        <v>37</v>
      </c>
      <c r="E56">
        <v>6</v>
      </c>
      <c r="F56">
        <v>0.90700000000000003</v>
      </c>
      <c r="H56"/>
      <c r="I56"/>
      <c r="J56"/>
    </row>
    <row r="57" spans="4:10">
      <c r="D57">
        <v>37</v>
      </c>
      <c r="E57">
        <v>7.1</v>
      </c>
      <c r="F57">
        <v>0.90700000000000003</v>
      </c>
      <c r="H57"/>
      <c r="I57"/>
      <c r="J57"/>
    </row>
    <row r="58" spans="4:10">
      <c r="D58">
        <v>37</v>
      </c>
      <c r="E58">
        <v>4</v>
      </c>
      <c r="F58">
        <v>0.98599999999999999</v>
      </c>
      <c r="H58"/>
      <c r="I58"/>
      <c r="J58"/>
    </row>
    <row r="59" spans="4:10">
      <c r="D59">
        <v>37</v>
      </c>
      <c r="E59">
        <v>4</v>
      </c>
      <c r="F59">
        <v>0.999</v>
      </c>
      <c r="H59"/>
      <c r="I59"/>
      <c r="J59"/>
    </row>
    <row r="60" spans="4:10">
      <c r="D60">
        <v>34</v>
      </c>
      <c r="E60">
        <v>7.6</v>
      </c>
      <c r="F60">
        <v>0.999</v>
      </c>
      <c r="H60"/>
      <c r="I60"/>
      <c r="J60"/>
    </row>
    <row r="61" spans="4:10">
      <c r="D61">
        <v>10</v>
      </c>
      <c r="E61">
        <v>5.0999999999999996</v>
      </c>
      <c r="F61">
        <v>0.98299999999999998</v>
      </c>
      <c r="H61"/>
      <c r="I61"/>
      <c r="J61"/>
    </row>
    <row r="62" spans="4:10">
      <c r="D62">
        <v>10</v>
      </c>
      <c r="E62">
        <v>5.0999999999999996</v>
      </c>
      <c r="F62">
        <v>0.99399999999999999</v>
      </c>
      <c r="H62"/>
      <c r="I62"/>
      <c r="J62"/>
    </row>
    <row r="63" spans="4:10">
      <c r="D63">
        <v>10</v>
      </c>
      <c r="E63">
        <v>7</v>
      </c>
      <c r="F63">
        <v>0.96899999999999997</v>
      </c>
      <c r="H63"/>
      <c r="I63"/>
      <c r="J63"/>
    </row>
    <row r="64" spans="4:10">
      <c r="D64">
        <v>13</v>
      </c>
      <c r="E64">
        <v>5</v>
      </c>
      <c r="F64">
        <v>0.999</v>
      </c>
      <c r="H64"/>
      <c r="I64"/>
      <c r="J64"/>
    </row>
    <row r="65" spans="4:10">
      <c r="D65">
        <v>13</v>
      </c>
      <c r="E65">
        <v>7</v>
      </c>
      <c r="F65">
        <v>0.94</v>
      </c>
      <c r="H65"/>
      <c r="I65"/>
      <c r="J65"/>
    </row>
    <row r="66" spans="4:10">
      <c r="D66">
        <v>13</v>
      </c>
      <c r="E66">
        <v>7.1</v>
      </c>
      <c r="F66">
        <v>0.96</v>
      </c>
      <c r="H66"/>
      <c r="I66"/>
      <c r="J66"/>
    </row>
    <row r="67" spans="4:10">
      <c r="D67">
        <v>13</v>
      </c>
      <c r="E67">
        <v>7.1</v>
      </c>
      <c r="F67">
        <v>0.999</v>
      </c>
      <c r="H67"/>
      <c r="I67"/>
      <c r="J67"/>
    </row>
    <row r="68" spans="4:10">
      <c r="D68">
        <v>16</v>
      </c>
      <c r="E68">
        <v>4.5</v>
      </c>
      <c r="F68">
        <v>0.999</v>
      </c>
      <c r="H68"/>
      <c r="I68"/>
      <c r="J68"/>
    </row>
    <row r="69" spans="4:10">
      <c r="D69">
        <v>16</v>
      </c>
      <c r="E69">
        <v>7</v>
      </c>
      <c r="F69">
        <v>0.999</v>
      </c>
      <c r="H69"/>
      <c r="I69"/>
      <c r="J69"/>
    </row>
    <row r="70" spans="4:10">
      <c r="D70">
        <v>16</v>
      </c>
      <c r="E70">
        <v>7.2</v>
      </c>
      <c r="F70">
        <v>0.96</v>
      </c>
      <c r="H70"/>
      <c r="I70"/>
      <c r="J70"/>
    </row>
    <row r="71" spans="4:10">
      <c r="D71">
        <v>22</v>
      </c>
      <c r="E71">
        <v>4</v>
      </c>
      <c r="F71">
        <v>0.98599999999999999</v>
      </c>
      <c r="H71"/>
      <c r="I71"/>
      <c r="J71"/>
    </row>
    <row r="72" spans="4:10">
      <c r="D72">
        <v>22</v>
      </c>
      <c r="E72">
        <v>4</v>
      </c>
      <c r="F72">
        <v>0.999</v>
      </c>
      <c r="H72"/>
      <c r="I72"/>
      <c r="J72"/>
    </row>
    <row r="73" spans="4:10">
      <c r="D73">
        <v>22</v>
      </c>
      <c r="E73">
        <v>5.5</v>
      </c>
      <c r="F73">
        <v>0.91400000000000003</v>
      </c>
      <c r="H73"/>
      <c r="I73"/>
      <c r="J73"/>
    </row>
    <row r="74" spans="4:10">
      <c r="D74">
        <v>22</v>
      </c>
      <c r="E74">
        <v>7</v>
      </c>
      <c r="F74">
        <v>0.90700000000000003</v>
      </c>
      <c r="H74"/>
      <c r="I74"/>
      <c r="J74"/>
    </row>
    <row r="75" spans="4:10">
      <c r="D75">
        <v>28</v>
      </c>
      <c r="E75">
        <v>6</v>
      </c>
      <c r="F75">
        <v>0.877</v>
      </c>
      <c r="H75"/>
      <c r="I75"/>
      <c r="J75"/>
    </row>
    <row r="76" spans="4:10">
      <c r="D76">
        <v>28</v>
      </c>
      <c r="E76">
        <v>7.1</v>
      </c>
      <c r="F76">
        <v>0.90700000000000003</v>
      </c>
      <c r="H76"/>
      <c r="I76"/>
      <c r="J76"/>
    </row>
    <row r="77" spans="4:10">
      <c r="D77">
        <v>34</v>
      </c>
      <c r="E77">
        <v>4.2</v>
      </c>
      <c r="F77">
        <v>0.998</v>
      </c>
      <c r="H77"/>
      <c r="I77"/>
      <c r="J77"/>
    </row>
    <row r="78" spans="4:10">
      <c r="D78">
        <v>34</v>
      </c>
      <c r="E78">
        <v>5</v>
      </c>
      <c r="F78">
        <v>0.90700000000000003</v>
      </c>
      <c r="H78"/>
      <c r="I78"/>
      <c r="J78"/>
    </row>
    <row r="79" spans="4:10">
      <c r="D79">
        <v>34</v>
      </c>
      <c r="E79">
        <v>7.2</v>
      </c>
      <c r="F79">
        <v>0.92</v>
      </c>
      <c r="H79"/>
      <c r="I79"/>
      <c r="J79"/>
    </row>
    <row r="81" spans="4:6">
      <c r="D81" s="2" t="s">
        <v>236</v>
      </c>
    </row>
    <row r="82" spans="4:6">
      <c r="D82" s="2">
        <v>0</v>
      </c>
      <c r="E82" s="2">
        <v>4</v>
      </c>
      <c r="F82" s="2">
        <v>1</v>
      </c>
    </row>
    <row r="83" spans="4:6">
      <c r="D83" s="2">
        <v>8</v>
      </c>
      <c r="E83" s="2">
        <v>11</v>
      </c>
      <c r="F83" s="2">
        <v>1</v>
      </c>
    </row>
    <row r="84" spans="4:6">
      <c r="D84" s="2">
        <v>16</v>
      </c>
      <c r="E84" s="2">
        <v>11</v>
      </c>
      <c r="F84" s="2">
        <v>0.877</v>
      </c>
    </row>
    <row r="85" spans="4:6">
      <c r="D85" s="2">
        <v>55</v>
      </c>
      <c r="E85" s="2">
        <v>4</v>
      </c>
      <c r="F85" s="2">
        <v>0.86</v>
      </c>
    </row>
    <row r="86" spans="4:6">
      <c r="D86" s="2">
        <v>55</v>
      </c>
      <c r="E86" s="2">
        <v>4</v>
      </c>
      <c r="F86" s="2">
        <v>1</v>
      </c>
    </row>
    <row r="87" spans="4:6">
      <c r="D87" s="2">
        <v>55</v>
      </c>
      <c r="E87" s="2">
        <v>11</v>
      </c>
      <c r="F87" s="2">
        <v>1</v>
      </c>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87"/>
  <sheetViews>
    <sheetView workbookViewId="0">
      <selection activeCell="E28" sqref="E28"/>
    </sheetView>
  </sheetViews>
  <sheetFormatPr defaultColWidth="8.875" defaultRowHeight="12.75"/>
  <cols>
    <col min="1" max="1" width="8.375" style="2" customWidth="1"/>
    <col min="2" max="2" width="12.5" style="2" customWidth="1"/>
    <col min="3" max="3" width="8.875" style="2" customWidth="1"/>
    <col min="4" max="4" width="7.25" style="2" customWidth="1"/>
    <col min="5" max="5" width="6.875" style="2" customWidth="1"/>
    <col min="6" max="6" width="5.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3" t="str">
        <f>Orgs!B6</f>
        <v>Bacillus subtilis</v>
      </c>
    </row>
    <row r="2" spans="1:15" s="24" customFormat="1" ht="14.25">
      <c r="A2" s="26"/>
      <c r="B2" s="27"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0">
        <v>3</v>
      </c>
      <c r="C3" s="75">
        <f>EXP(-10.1)</f>
        <v>4.1079555225300724E-5</v>
      </c>
      <c r="D3" s="30">
        <v>20</v>
      </c>
      <c r="E3" s="30">
        <v>7</v>
      </c>
      <c r="F3" s="32" t="s">
        <v>201</v>
      </c>
      <c r="G3" s="30">
        <v>0.5</v>
      </c>
      <c r="H3" s="30"/>
      <c r="I3" s="30"/>
      <c r="J3" s="30"/>
      <c r="K3" s="30"/>
      <c r="L3" s="30"/>
      <c r="M3" s="30"/>
      <c r="N3" s="30"/>
      <c r="O3" s="33"/>
    </row>
    <row r="4" spans="1:15">
      <c r="A4" s="29" t="s">
        <v>202</v>
      </c>
      <c r="B4" s="30"/>
      <c r="C4" s="34"/>
      <c r="D4" s="30">
        <v>10</v>
      </c>
      <c r="E4" s="30">
        <v>4.3</v>
      </c>
      <c r="F4" s="30"/>
      <c r="G4" s="30">
        <v>0</v>
      </c>
      <c r="H4" s="30"/>
      <c r="I4" s="30"/>
      <c r="J4" s="30"/>
      <c r="K4" s="30"/>
      <c r="L4" s="30"/>
      <c r="M4" s="30"/>
      <c r="N4" s="30"/>
      <c r="O4" s="33"/>
    </row>
    <row r="5" spans="1:15" ht="13.5" thickBot="1">
      <c r="A5" s="35" t="s">
        <v>203</v>
      </c>
      <c r="B5" s="36"/>
      <c r="C5" s="37"/>
      <c r="D5" s="36">
        <v>34</v>
      </c>
      <c r="E5" s="36">
        <v>7.8</v>
      </c>
      <c r="F5" s="36"/>
      <c r="G5" s="36">
        <v>10.3</v>
      </c>
      <c r="H5" s="36"/>
      <c r="I5" s="36"/>
      <c r="J5" s="36"/>
      <c r="K5" s="36"/>
      <c r="L5" s="36"/>
      <c r="M5" s="36"/>
      <c r="N5" s="36"/>
      <c r="O5" s="38"/>
    </row>
    <row r="6" spans="1:15" ht="13.5" thickBot="1">
      <c r="A6"/>
      <c r="C6" s="25"/>
    </row>
    <row r="7" spans="1:15">
      <c r="A7" s="39"/>
      <c r="B7" s="27"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c r="B8" s="41">
        <v>31010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c r="A9" s="2" t="s">
        <v>212</v>
      </c>
      <c r="D9" s="2">
        <v>4</v>
      </c>
      <c r="E9" s="2">
        <v>1</v>
      </c>
      <c r="F9" s="2">
        <v>0.05</v>
      </c>
    </row>
    <row r="10" spans="1:15" ht="14.25">
      <c r="A10" s="39"/>
      <c r="B10" s="53" t="s">
        <v>213</v>
      </c>
      <c r="C10" s="27"/>
      <c r="D10" s="27"/>
      <c r="E10" s="43"/>
      <c r="F10" s="43"/>
      <c r="G10" s="44"/>
      <c r="H10" s="56" t="s">
        <v>214</v>
      </c>
      <c r="I10" s="45"/>
    </row>
    <row r="11" spans="1:15">
      <c r="A11" s="29" t="s">
        <v>215</v>
      </c>
      <c r="B11" s="32">
        <v>0.35</v>
      </c>
      <c r="C11" s="46"/>
      <c r="D11" s="30"/>
      <c r="E11" s="30"/>
      <c r="F11" s="30"/>
      <c r="G11" s="47"/>
      <c r="H11" s="30"/>
      <c r="I11" s="33"/>
    </row>
    <row r="12" spans="1:15" ht="13.5" thickBot="1">
      <c r="A12" s="35" t="s">
        <v>216</v>
      </c>
      <c r="B12" s="48" t="str">
        <f>" =EXP("&amp;B14&amp;"*("&amp;C14&amp;")+"&amp;B15&amp;"*("&amp;C15&amp;")+"&amp;B16&amp;"*("&amp;C16&amp;")+"&amp;B17&amp;"*("&amp;C17&amp;")+"&amp;B18&amp;"*("&amp;C18&amp;")+"&amp;B19&amp;"*("&amp;C19&amp;")+"&amp;B20&amp;"*("&amp;C20&amp;")+"&amp;B21&amp;"*("&amp;C21&amp;")+"&amp;B22&amp;"*("&amp;C22&amp;")+"&amp;B23&amp;"*("&amp;C23&amp;"))"</f>
        <v xml:space="preserve"> =EXP(1*(-20.08)+tr*(0.2005)+pr*(4.878)+bw*(1.918)+tr*pr*(0.00755)+tr*bw*(0.04137)+pr*bw*(-1.097)+tr^2*(-0.002305)+pr^2*(-0.3975)+bw^2*(19.74))</v>
      </c>
      <c r="C12" s="49"/>
      <c r="D12" s="50"/>
      <c r="E12" s="49"/>
      <c r="F12" s="50"/>
      <c r="G12" s="51"/>
      <c r="H12" s="36">
        <f>18/2.3</f>
        <v>7.8260869565217401</v>
      </c>
      <c r="I12" s="38"/>
    </row>
    <row r="14" spans="1:15">
      <c r="A14" s="1">
        <v>1</v>
      </c>
      <c r="B14" s="24">
        <v>1</v>
      </c>
      <c r="C14" s="2">
        <v>-20.079999999999998</v>
      </c>
      <c r="D14"/>
      <c r="E14" s="4"/>
    </row>
    <row r="15" spans="1:15">
      <c r="A15" s="1">
        <v>20</v>
      </c>
      <c r="B15" s="24" t="s">
        <v>45</v>
      </c>
      <c r="C15" s="2">
        <v>0.20050000000000001</v>
      </c>
      <c r="E15" s="4"/>
    </row>
    <row r="16" spans="1:15">
      <c r="A16" s="1">
        <v>7</v>
      </c>
      <c r="B16" s="24" t="s">
        <v>46</v>
      </c>
      <c r="C16" s="2">
        <v>4.8780000000000001</v>
      </c>
    </row>
    <row r="17" spans="1:6">
      <c r="A17" s="1">
        <v>0.5</v>
      </c>
      <c r="B17" s="24" t="s">
        <v>47</v>
      </c>
      <c r="C17" s="2">
        <v>1.9179999999999999</v>
      </c>
    </row>
    <row r="18" spans="1:6">
      <c r="A18" s="1">
        <f>A$15*A$16</f>
        <v>140</v>
      </c>
      <c r="B18" s="24" t="s">
        <v>222</v>
      </c>
      <c r="C18" s="2">
        <v>7.5500000000000003E-3</v>
      </c>
    </row>
    <row r="19" spans="1:6">
      <c r="A19" s="1">
        <f>A$15*A$17</f>
        <v>10</v>
      </c>
      <c r="B19" s="24" t="s">
        <v>225</v>
      </c>
      <c r="C19" s="2">
        <v>4.1369999999999997E-2</v>
      </c>
    </row>
    <row r="20" spans="1:6">
      <c r="A20" s="1">
        <f>A$16*A$17</f>
        <v>3.5</v>
      </c>
      <c r="B20" s="24" t="s">
        <v>227</v>
      </c>
      <c r="C20" s="2">
        <v>-1.097</v>
      </c>
    </row>
    <row r="21" spans="1:6">
      <c r="A21" s="1">
        <f>A$15^2</f>
        <v>400</v>
      </c>
      <c r="B21" s="24" t="s">
        <v>229</v>
      </c>
      <c r="C21" s="2">
        <v>-2.3050000000000002E-3</v>
      </c>
    </row>
    <row r="22" spans="1:6">
      <c r="A22" s="1">
        <f>A$16^2</f>
        <v>49</v>
      </c>
      <c r="B22" s="24" t="s">
        <v>231</v>
      </c>
      <c r="C22" s="2">
        <v>-0.39750000000000002</v>
      </c>
    </row>
    <row r="23" spans="1:6">
      <c r="A23" s="1">
        <f>A$17^2</f>
        <v>0.25</v>
      </c>
      <c r="B23" s="24" t="s">
        <v>233</v>
      </c>
      <c r="C23" s="2">
        <v>19.739999999999998</v>
      </c>
    </row>
    <row r="24" spans="1:6">
      <c r="A24" s="1"/>
      <c r="B24" s="24"/>
    </row>
    <row r="25" spans="1:6">
      <c r="A25" s="1"/>
      <c r="B25" s="24"/>
    </row>
    <row r="26" spans="1:6">
      <c r="A26" s="1"/>
      <c r="B26" s="24"/>
    </row>
    <row r="27" spans="1:6">
      <c r="A27" s="1"/>
      <c r="B27" s="24"/>
    </row>
    <row r="28" spans="1:6">
      <c r="A28" s="1"/>
      <c r="B28" s="24"/>
    </row>
    <row r="30" spans="1:6">
      <c r="D30" s="124" t="s">
        <v>234</v>
      </c>
    </row>
    <row r="31" spans="1:6">
      <c r="D31">
        <v>34</v>
      </c>
      <c r="E31">
        <v>7</v>
      </c>
      <c r="F31">
        <v>0.995</v>
      </c>
    </row>
    <row r="32" spans="1:6">
      <c r="D32">
        <v>15.7</v>
      </c>
      <c r="E32">
        <v>5</v>
      </c>
      <c r="F32">
        <v>0.999</v>
      </c>
    </row>
    <row r="33" spans="4:6">
      <c r="D33">
        <v>34</v>
      </c>
      <c r="E33">
        <v>7.8</v>
      </c>
      <c r="F33">
        <v>0.999</v>
      </c>
    </row>
    <row r="34" spans="4:6">
      <c r="D34">
        <v>34</v>
      </c>
      <c r="E34">
        <v>4.4000000000000004</v>
      </c>
      <c r="F34">
        <v>0.999</v>
      </c>
    </row>
    <row r="35" spans="4:6">
      <c r="D35">
        <v>28</v>
      </c>
      <c r="E35">
        <v>4.3</v>
      </c>
      <c r="F35">
        <v>0.999</v>
      </c>
    </row>
    <row r="36" spans="4:6">
      <c r="D36">
        <v>13</v>
      </c>
      <c r="E36">
        <v>5.5</v>
      </c>
      <c r="F36">
        <v>0.999</v>
      </c>
    </row>
    <row r="37" spans="4:6">
      <c r="D37">
        <v>10</v>
      </c>
      <c r="E37">
        <v>7</v>
      </c>
      <c r="F37">
        <v>0.999</v>
      </c>
    </row>
    <row r="38" spans="4:6">
      <c r="D38">
        <v>10</v>
      </c>
      <c r="E38">
        <v>6</v>
      </c>
      <c r="F38">
        <v>0.98499999999999999</v>
      </c>
    </row>
    <row r="39" spans="4:6">
      <c r="D39">
        <v>34</v>
      </c>
      <c r="E39">
        <v>4.5999999999999996</v>
      </c>
      <c r="F39">
        <v>0.99</v>
      </c>
    </row>
    <row r="40" spans="4:6">
      <c r="D40">
        <v>16</v>
      </c>
      <c r="E40">
        <v>7</v>
      </c>
      <c r="F40">
        <v>0.93099999999999994</v>
      </c>
    </row>
    <row r="41" spans="4:6">
      <c r="D41">
        <v>13</v>
      </c>
      <c r="E41">
        <v>7</v>
      </c>
      <c r="F41">
        <v>0.95799999999999996</v>
      </c>
    </row>
    <row r="42" spans="4:6">
      <c r="D42">
        <v>16</v>
      </c>
      <c r="E42">
        <v>5.2</v>
      </c>
      <c r="F42">
        <v>0.96</v>
      </c>
    </row>
    <row r="43" spans="4:6">
      <c r="D43">
        <v>27</v>
      </c>
      <c r="E43">
        <v>5.0999999999999996</v>
      </c>
      <c r="F43">
        <v>0.96</v>
      </c>
    </row>
    <row r="44" spans="4:6">
      <c r="D44">
        <v>22</v>
      </c>
      <c r="E44">
        <v>5.0999999999999996</v>
      </c>
      <c r="F44">
        <v>0.96</v>
      </c>
    </row>
    <row r="45" spans="4:6">
      <c r="D45">
        <v>16</v>
      </c>
      <c r="E45">
        <v>4.9000000000000004</v>
      </c>
      <c r="F45">
        <v>0.98699999999999999</v>
      </c>
    </row>
    <row r="46" spans="4:6">
      <c r="D46">
        <v>28</v>
      </c>
      <c r="E46">
        <v>6.3</v>
      </c>
      <c r="F46">
        <v>0.92</v>
      </c>
    </row>
    <row r="47" spans="4:6">
      <c r="D47">
        <v>10</v>
      </c>
      <c r="E47">
        <v>6.1</v>
      </c>
      <c r="F47">
        <v>0.99199999999999999</v>
      </c>
    </row>
    <row r="48" spans="4:6">
      <c r="D48">
        <v>22</v>
      </c>
      <c r="E48">
        <v>4.9000000000000004</v>
      </c>
      <c r="F48">
        <v>0.97</v>
      </c>
    </row>
    <row r="49" spans="4:6">
      <c r="D49">
        <v>27</v>
      </c>
      <c r="E49">
        <v>4.9000000000000004</v>
      </c>
      <c r="F49">
        <v>0.97</v>
      </c>
    </row>
    <row r="51" spans="4:6">
      <c r="D51" s="2" t="s">
        <v>235</v>
      </c>
    </row>
    <row r="52" spans="4:6">
      <c r="D52">
        <v>37</v>
      </c>
      <c r="E52">
        <v>7.8</v>
      </c>
      <c r="F52">
        <v>0.999</v>
      </c>
    </row>
    <row r="53" spans="4:6">
      <c r="D53">
        <v>37</v>
      </c>
      <c r="E53">
        <v>4.3</v>
      </c>
      <c r="F53">
        <v>0.999</v>
      </c>
    </row>
    <row r="54" spans="4:6">
      <c r="D54">
        <v>37</v>
      </c>
      <c r="E54">
        <v>5.0999999999999996</v>
      </c>
      <c r="F54">
        <v>0.96</v>
      </c>
    </row>
    <row r="55" spans="4:6">
      <c r="D55">
        <v>37</v>
      </c>
      <c r="E55">
        <v>6.3</v>
      </c>
      <c r="F55">
        <v>0.92</v>
      </c>
    </row>
    <row r="56" spans="4:6">
      <c r="D56">
        <v>37</v>
      </c>
      <c r="E56">
        <v>7</v>
      </c>
      <c r="F56">
        <v>0.92</v>
      </c>
    </row>
    <row r="57" spans="4:6">
      <c r="D57">
        <v>8</v>
      </c>
      <c r="E57">
        <v>7</v>
      </c>
      <c r="F57">
        <v>0.999</v>
      </c>
    </row>
    <row r="58" spans="4:6">
      <c r="D58">
        <v>10</v>
      </c>
      <c r="E58">
        <v>4.9000000000000004</v>
      </c>
      <c r="F58">
        <v>0.98699999999999999</v>
      </c>
    </row>
    <row r="59" spans="4:6">
      <c r="D59">
        <v>10</v>
      </c>
      <c r="E59">
        <v>5</v>
      </c>
      <c r="F59">
        <v>0.99199999999999999</v>
      </c>
    </row>
    <row r="60" spans="4:6">
      <c r="D60">
        <v>10</v>
      </c>
      <c r="E60">
        <v>6</v>
      </c>
      <c r="F60">
        <v>0.999</v>
      </c>
    </row>
    <row r="61" spans="4:6">
      <c r="D61">
        <v>10</v>
      </c>
      <c r="E61">
        <v>7</v>
      </c>
      <c r="F61">
        <v>0.95799999999999996</v>
      </c>
    </row>
    <row r="62" spans="4:6">
      <c r="D62">
        <v>13</v>
      </c>
      <c r="E62">
        <v>5</v>
      </c>
      <c r="F62">
        <v>0.999</v>
      </c>
    </row>
    <row r="63" spans="4:6">
      <c r="D63">
        <v>16</v>
      </c>
      <c r="E63">
        <v>4.5999999999999996</v>
      </c>
      <c r="F63">
        <v>0.999</v>
      </c>
    </row>
    <row r="64" spans="4:6">
      <c r="D64">
        <v>16</v>
      </c>
      <c r="E64">
        <v>5</v>
      </c>
      <c r="F64">
        <v>0.999</v>
      </c>
    </row>
    <row r="65" spans="4:6">
      <c r="D65">
        <v>16</v>
      </c>
      <c r="E65">
        <v>5.8</v>
      </c>
      <c r="F65">
        <v>0.91700000000000004</v>
      </c>
    </row>
    <row r="66" spans="4:6">
      <c r="D66">
        <v>16</v>
      </c>
      <c r="E66">
        <v>6.7</v>
      </c>
      <c r="F66">
        <v>0.92200000000000004</v>
      </c>
    </row>
    <row r="67" spans="4:6">
      <c r="D67">
        <v>16</v>
      </c>
      <c r="E67">
        <v>7</v>
      </c>
      <c r="F67">
        <v>0.93100000000000005</v>
      </c>
    </row>
    <row r="68" spans="4:6">
      <c r="D68">
        <v>22</v>
      </c>
      <c r="E68">
        <v>4.3</v>
      </c>
      <c r="F68">
        <v>0.99</v>
      </c>
    </row>
    <row r="69" spans="4:6">
      <c r="D69">
        <v>22</v>
      </c>
      <c r="E69">
        <v>6</v>
      </c>
      <c r="F69">
        <v>0.89100000000000001</v>
      </c>
    </row>
    <row r="70" spans="4:6">
      <c r="D70">
        <v>22</v>
      </c>
      <c r="E70">
        <v>7</v>
      </c>
      <c r="F70">
        <v>0.91500000000000004</v>
      </c>
    </row>
    <row r="71" spans="4:6">
      <c r="D71">
        <v>28</v>
      </c>
      <c r="E71">
        <v>4.3</v>
      </c>
      <c r="F71">
        <v>0.999</v>
      </c>
    </row>
    <row r="72" spans="4:6">
      <c r="D72">
        <v>28</v>
      </c>
      <c r="E72">
        <v>6.3</v>
      </c>
      <c r="F72">
        <v>0.9</v>
      </c>
    </row>
    <row r="73" spans="4:6">
      <c r="D73">
        <v>28</v>
      </c>
      <c r="E73">
        <v>7</v>
      </c>
      <c r="F73">
        <v>0.91500000000000004</v>
      </c>
    </row>
    <row r="74" spans="4:6">
      <c r="D74">
        <v>34</v>
      </c>
      <c r="E74">
        <v>4.3</v>
      </c>
      <c r="F74">
        <v>0.99</v>
      </c>
    </row>
    <row r="75" spans="4:6">
      <c r="D75">
        <v>34</v>
      </c>
      <c r="E75">
        <v>4.4000000000000004</v>
      </c>
      <c r="F75">
        <v>0.999</v>
      </c>
    </row>
    <row r="76" spans="4:6">
      <c r="D76">
        <v>34</v>
      </c>
      <c r="E76">
        <v>5.0999999999999996</v>
      </c>
      <c r="F76">
        <v>0.89100000000000001</v>
      </c>
    </row>
    <row r="77" spans="4:6">
      <c r="D77">
        <v>34</v>
      </c>
      <c r="E77">
        <v>7.8</v>
      </c>
      <c r="F77">
        <v>0.999</v>
      </c>
    </row>
    <row r="79" spans="4:6">
      <c r="D79" s="2" t="s">
        <v>236</v>
      </c>
    </row>
    <row r="80" spans="4:6">
      <c r="D80" s="2">
        <v>5</v>
      </c>
      <c r="E80" s="2">
        <v>10</v>
      </c>
      <c r="F80" s="2">
        <v>1</v>
      </c>
    </row>
    <row r="81" spans="4:6">
      <c r="D81" s="2">
        <v>0</v>
      </c>
      <c r="E81" s="2">
        <v>4</v>
      </c>
      <c r="F81" s="2">
        <v>1</v>
      </c>
    </row>
    <row r="82" spans="4:6">
      <c r="D82" s="2">
        <v>0</v>
      </c>
      <c r="E82" s="2">
        <v>4</v>
      </c>
      <c r="F82" s="2">
        <v>0.86</v>
      </c>
    </row>
    <row r="83" spans="4:6">
      <c r="D83" s="2">
        <v>0</v>
      </c>
      <c r="E83" s="2">
        <v>11</v>
      </c>
      <c r="F83" s="2">
        <v>0.86</v>
      </c>
    </row>
    <row r="84" spans="4:6">
      <c r="D84" s="2">
        <v>55</v>
      </c>
      <c r="E84" s="2">
        <v>4</v>
      </c>
      <c r="F84" s="2">
        <v>1</v>
      </c>
    </row>
    <row r="85" spans="4:6">
      <c r="D85" s="2">
        <v>55</v>
      </c>
      <c r="E85" s="2">
        <v>4</v>
      </c>
      <c r="F85" s="2">
        <v>0.86</v>
      </c>
    </row>
    <row r="86" spans="4:6">
      <c r="D86" s="2">
        <v>55</v>
      </c>
      <c r="E86" s="2">
        <v>11</v>
      </c>
      <c r="F86" s="2">
        <v>1</v>
      </c>
    </row>
    <row r="87" spans="4:6">
      <c r="D87" s="2">
        <v>55</v>
      </c>
      <c r="E87" s="2">
        <v>11</v>
      </c>
      <c r="F87" s="2">
        <v>0.86</v>
      </c>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98"/>
  <sheetViews>
    <sheetView workbookViewId="0">
      <selection activeCell="E28" sqref="E28"/>
    </sheetView>
  </sheetViews>
  <sheetFormatPr defaultColWidth="8.875" defaultRowHeight="12.75"/>
  <cols>
    <col min="1" max="1" width="8.375" style="2" customWidth="1"/>
    <col min="2" max="2" width="12.5" style="2" customWidth="1"/>
    <col min="3" max="3" width="8.875" style="2" customWidth="1"/>
    <col min="4" max="4" width="7.25" style="2" customWidth="1"/>
    <col min="5" max="5" width="6.875" style="2" customWidth="1"/>
    <col min="6" max="6" width="5.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3" t="str">
        <f>Orgs!B28</f>
        <v>Bacillus subtilis (aw: with glycerol)</v>
      </c>
    </row>
    <row r="2" spans="1:15" s="24" customFormat="1" ht="14.25">
      <c r="A2" s="26"/>
      <c r="B2" s="27"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0">
        <v>3</v>
      </c>
      <c r="C3" s="75">
        <f>EXP(-8.1)</f>
        <v>3.0353913807886678E-4</v>
      </c>
      <c r="D3" s="30">
        <v>20</v>
      </c>
      <c r="E3" s="30">
        <v>7</v>
      </c>
      <c r="F3" s="30">
        <v>0.999</v>
      </c>
      <c r="G3" s="30"/>
      <c r="H3" s="30"/>
      <c r="I3" s="30"/>
      <c r="J3" s="30"/>
      <c r="K3" s="30"/>
      <c r="L3" s="30"/>
      <c r="M3" s="30"/>
      <c r="N3" s="30"/>
      <c r="O3" s="33"/>
    </row>
    <row r="4" spans="1:15">
      <c r="A4" s="29" t="s">
        <v>202</v>
      </c>
      <c r="B4" s="30"/>
      <c r="C4" s="34"/>
      <c r="D4" s="30">
        <v>10</v>
      </c>
      <c r="E4" s="30">
        <v>4.5999999999999996</v>
      </c>
      <c r="F4" s="30">
        <v>0.88</v>
      </c>
      <c r="G4" s="30"/>
      <c r="H4" s="30"/>
      <c r="I4" s="30"/>
      <c r="J4" s="30"/>
      <c r="K4" s="30"/>
      <c r="L4" s="30"/>
      <c r="M4" s="30"/>
      <c r="N4" s="30"/>
      <c r="O4" s="33"/>
    </row>
    <row r="5" spans="1:15" ht="13.5" thickBot="1">
      <c r="A5" s="35" t="s">
        <v>203</v>
      </c>
      <c r="B5" s="36"/>
      <c r="C5" s="37"/>
      <c r="D5" s="36">
        <v>34</v>
      </c>
      <c r="E5" s="36">
        <v>8</v>
      </c>
      <c r="F5" s="36">
        <v>1</v>
      </c>
      <c r="G5" s="36"/>
      <c r="H5" s="36"/>
      <c r="I5" s="36"/>
      <c r="J5" s="36"/>
      <c r="K5" s="36"/>
      <c r="L5" s="36"/>
      <c r="M5" s="36"/>
      <c r="N5" s="36"/>
      <c r="O5" s="38"/>
    </row>
    <row r="6" spans="1:15" ht="13.5" thickBot="1">
      <c r="A6"/>
      <c r="C6" s="25"/>
    </row>
    <row r="7" spans="1:15">
      <c r="A7" s="39"/>
      <c r="B7" s="27"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c r="B8" s="41">
        <v>31010</v>
      </c>
      <c r="C8" s="37"/>
      <c r="D8" s="42" t="s">
        <v>208</v>
      </c>
      <c r="E8" s="42" t="s">
        <v>209</v>
      </c>
      <c r="F8" s="42" t="s">
        <v>245</v>
      </c>
      <c r="G8" s="42" t="s">
        <v>211</v>
      </c>
      <c r="H8" s="36" t="s">
        <v>211</v>
      </c>
      <c r="I8" s="36" t="s">
        <v>211</v>
      </c>
      <c r="J8" s="36" t="s">
        <v>211</v>
      </c>
      <c r="K8" s="36" t="s">
        <v>211</v>
      </c>
      <c r="L8" s="36" t="s">
        <v>211</v>
      </c>
      <c r="M8" s="36" t="s">
        <v>211</v>
      </c>
      <c r="N8" s="36" t="s">
        <v>211</v>
      </c>
      <c r="O8" s="38" t="s">
        <v>211</v>
      </c>
    </row>
    <row r="9" spans="1:15" ht="13.5" thickBot="1">
      <c r="A9" s="2" t="s">
        <v>212</v>
      </c>
    </row>
    <row r="10" spans="1:15" ht="14.25">
      <c r="A10" s="39"/>
      <c r="B10" s="53" t="s">
        <v>213</v>
      </c>
      <c r="C10" s="27"/>
      <c r="D10" s="27"/>
      <c r="E10" s="43"/>
      <c r="F10" s="43"/>
      <c r="G10" s="44"/>
      <c r="H10" s="56" t="s">
        <v>214</v>
      </c>
      <c r="I10" s="45"/>
    </row>
    <row r="11" spans="1:15">
      <c r="A11" s="29" t="s">
        <v>215</v>
      </c>
      <c r="B11" s="32">
        <v>0.31</v>
      </c>
      <c r="C11" s="46"/>
      <c r="D11" s="30"/>
      <c r="E11" s="30"/>
      <c r="F11" s="30"/>
      <c r="G11" s="47"/>
      <c r="H11" s="30"/>
      <c r="I11" s="33"/>
    </row>
    <row r="12" spans="1:15" ht="13.5" thickBot="1">
      <c r="A12" s="35" t="s">
        <v>216</v>
      </c>
      <c r="B12" s="48" t="str">
        <f>" =EXP("&amp;B14&amp;"*("&amp;C14&amp;")+"&amp;B15&amp;"*("&amp;C15&amp;")+"&amp;B16&amp;"*("&amp;C16&amp;")+"&amp;B17&amp;"*("&amp;C17&amp;")+"&amp;B18&amp;"*("&amp;C18&amp;")+"&amp;B19&amp;"*("&amp;C19&amp;")+"&amp;B20&amp;"*("&amp;C20&amp;")+"&amp;B21&amp;"*("&amp;C21&amp;")+"&amp;B22&amp;"*("&amp;C22&amp;")+"&amp;B23&amp;"*("&amp;C23&amp;"))"</f>
        <v xml:space="preserve"> =EXP(1*(-7.645)+tr*(0.2098)+pr*(1.082)+bw*(-1.057)+tr*pr*(0.006562)+tr*bw*(0.03396)+pr*bw*(0.6827)+tr^2*(-0.002645)+pr^2*(-0.1046)+bw^2*(-37.91))</v>
      </c>
      <c r="C12" s="49"/>
      <c r="D12" s="50"/>
      <c r="E12" s="49"/>
      <c r="F12" s="50"/>
      <c r="G12" s="51"/>
      <c r="H12" s="36">
        <v>7.4</v>
      </c>
      <c r="I12" s="38"/>
    </row>
    <row r="14" spans="1:15">
      <c r="A14" s="1">
        <v>1</v>
      </c>
      <c r="B14" s="24">
        <v>1</v>
      </c>
      <c r="C14" s="2">
        <v>-7.6449999999999996</v>
      </c>
      <c r="D14"/>
      <c r="E14" s="4"/>
    </row>
    <row r="15" spans="1:15">
      <c r="A15" s="1">
        <v>20</v>
      </c>
      <c r="B15" s="24" t="s">
        <v>45</v>
      </c>
      <c r="C15" s="2">
        <v>0.20979999999999999</v>
      </c>
      <c r="E15" s="4"/>
    </row>
    <row r="16" spans="1:15">
      <c r="A16" s="1">
        <v>7</v>
      </c>
      <c r="B16" s="24" t="s">
        <v>46</v>
      </c>
      <c r="C16" s="2">
        <v>1.0820000000000001</v>
      </c>
    </row>
    <row r="17" spans="1:6">
      <c r="A17" s="1">
        <v>0.5</v>
      </c>
      <c r="B17" s="24" t="s">
        <v>47</v>
      </c>
      <c r="C17" s="2">
        <v>-1.0569999999999999</v>
      </c>
    </row>
    <row r="18" spans="1:6">
      <c r="A18" s="1">
        <f>A$15*A$16</f>
        <v>140</v>
      </c>
      <c r="B18" s="24" t="s">
        <v>222</v>
      </c>
      <c r="C18" s="2">
        <v>6.5620000000000001E-3</v>
      </c>
    </row>
    <row r="19" spans="1:6">
      <c r="A19" s="1">
        <f>A$15*A$17</f>
        <v>10</v>
      </c>
      <c r="B19" s="24" t="s">
        <v>225</v>
      </c>
      <c r="C19" s="2">
        <v>3.3959999999999997E-2</v>
      </c>
    </row>
    <row r="20" spans="1:6">
      <c r="A20" s="1">
        <f>A$16*A$17</f>
        <v>3.5</v>
      </c>
      <c r="B20" s="24" t="s">
        <v>227</v>
      </c>
      <c r="C20" s="2">
        <v>0.68269999999999997</v>
      </c>
    </row>
    <row r="21" spans="1:6">
      <c r="A21" s="1">
        <f>A$15^2</f>
        <v>400</v>
      </c>
      <c r="B21" s="24" t="s">
        <v>229</v>
      </c>
      <c r="C21" s="2">
        <v>-2.6450000000000002E-3</v>
      </c>
    </row>
    <row r="22" spans="1:6">
      <c r="A22" s="1">
        <f>A$16^2</f>
        <v>49</v>
      </c>
      <c r="B22" s="24" t="s">
        <v>231</v>
      </c>
      <c r="C22" s="2">
        <v>-0.1046</v>
      </c>
    </row>
    <row r="23" spans="1:6">
      <c r="A23" s="1">
        <f>A$17^2</f>
        <v>0.25</v>
      </c>
      <c r="B23" s="24" t="s">
        <v>233</v>
      </c>
      <c r="C23" s="2">
        <v>-37.909999999999997</v>
      </c>
    </row>
    <row r="24" spans="1:6">
      <c r="A24" s="1"/>
      <c r="B24" s="24"/>
    </row>
    <row r="25" spans="1:6">
      <c r="A25" s="1"/>
      <c r="B25" s="24"/>
    </row>
    <row r="26" spans="1:6">
      <c r="A26" s="1"/>
      <c r="B26" s="24"/>
    </row>
    <row r="27" spans="1:6">
      <c r="A27" s="1"/>
      <c r="B27" s="24"/>
    </row>
    <row r="28" spans="1:6">
      <c r="A28" s="1"/>
      <c r="B28" s="24"/>
    </row>
    <row r="30" spans="1:6">
      <c r="D30" s="124" t="s">
        <v>234</v>
      </c>
    </row>
    <row r="31" spans="1:6">
      <c r="D31">
        <v>34</v>
      </c>
      <c r="E31">
        <v>7</v>
      </c>
      <c r="F31">
        <v>0.98</v>
      </c>
    </row>
    <row r="32" spans="1:6">
      <c r="D32">
        <v>22</v>
      </c>
      <c r="E32">
        <v>4.8</v>
      </c>
      <c r="F32">
        <v>0.96</v>
      </c>
    </row>
    <row r="33" spans="4:6">
      <c r="D33">
        <v>16</v>
      </c>
      <c r="E33">
        <v>7</v>
      </c>
      <c r="F33">
        <v>0.92</v>
      </c>
    </row>
    <row r="34" spans="4:6">
      <c r="D34">
        <v>10</v>
      </c>
      <c r="E34">
        <v>7</v>
      </c>
      <c r="F34">
        <v>0.96</v>
      </c>
    </row>
    <row r="35" spans="4:6">
      <c r="D35">
        <v>34</v>
      </c>
      <c r="E35">
        <v>4.5999999999999996</v>
      </c>
      <c r="F35">
        <v>0.96</v>
      </c>
    </row>
    <row r="36" spans="4:6">
      <c r="D36">
        <v>28</v>
      </c>
      <c r="E36">
        <v>4.5999999999999996</v>
      </c>
      <c r="F36">
        <v>0.97899999999999998</v>
      </c>
    </row>
    <row r="37" spans="4:6">
      <c r="D37">
        <v>22</v>
      </c>
      <c r="E37">
        <v>4.9000000000000004</v>
      </c>
      <c r="F37">
        <v>0.92600000000000005</v>
      </c>
    </row>
    <row r="38" spans="4:6">
      <c r="D38">
        <v>34</v>
      </c>
      <c r="E38">
        <v>5</v>
      </c>
      <c r="F38">
        <v>0.98</v>
      </c>
    </row>
    <row r="39" spans="4:6">
      <c r="D39">
        <v>34</v>
      </c>
      <c r="E39">
        <v>8</v>
      </c>
      <c r="F39">
        <v>0.96</v>
      </c>
    </row>
    <row r="40" spans="4:6">
      <c r="D40">
        <v>34</v>
      </c>
      <c r="E40">
        <v>7.7</v>
      </c>
      <c r="F40">
        <v>0.92</v>
      </c>
    </row>
    <row r="41" spans="4:6">
      <c r="D41">
        <v>10</v>
      </c>
      <c r="E41">
        <v>5.5</v>
      </c>
      <c r="F41">
        <v>0.96</v>
      </c>
    </row>
    <row r="42" spans="4:6">
      <c r="D42">
        <v>22</v>
      </c>
      <c r="E42">
        <v>5.5</v>
      </c>
      <c r="F42">
        <v>0.999</v>
      </c>
    </row>
    <row r="43" spans="4:6">
      <c r="D43">
        <v>34</v>
      </c>
      <c r="E43">
        <v>7</v>
      </c>
      <c r="F43">
        <v>0.84</v>
      </c>
    </row>
    <row r="44" spans="4:6">
      <c r="D44">
        <v>34</v>
      </c>
      <c r="E44">
        <v>6</v>
      </c>
      <c r="F44">
        <v>0.86</v>
      </c>
    </row>
    <row r="45" spans="4:6">
      <c r="D45">
        <v>34</v>
      </c>
      <c r="E45">
        <v>5.5</v>
      </c>
      <c r="F45">
        <v>0.88</v>
      </c>
    </row>
    <row r="46" spans="4:6">
      <c r="D46">
        <v>22</v>
      </c>
      <c r="E46">
        <v>5</v>
      </c>
      <c r="F46">
        <v>0.999</v>
      </c>
    </row>
    <row r="47" spans="4:6">
      <c r="D47">
        <v>16</v>
      </c>
      <c r="E47">
        <v>6.3</v>
      </c>
      <c r="F47">
        <v>0.999</v>
      </c>
    </row>
    <row r="48" spans="4:6">
      <c r="D48">
        <v>16</v>
      </c>
      <c r="E48">
        <v>6.8</v>
      </c>
      <c r="F48">
        <v>0.98499999999999999</v>
      </c>
    </row>
    <row r="49" spans="4:6">
      <c r="D49">
        <v>16</v>
      </c>
      <c r="E49">
        <v>4.9000000000000004</v>
      </c>
      <c r="F49">
        <v>0.98699999999999999</v>
      </c>
    </row>
    <row r="50" spans="4:6">
      <c r="D50">
        <v>28</v>
      </c>
      <c r="E50">
        <v>6.4</v>
      </c>
      <c r="F50">
        <v>0.99</v>
      </c>
    </row>
    <row r="51" spans="4:6">
      <c r="D51">
        <v>16</v>
      </c>
      <c r="E51">
        <v>5</v>
      </c>
      <c r="F51">
        <v>0.999</v>
      </c>
    </row>
    <row r="52" spans="4:6">
      <c r="D52">
        <v>10</v>
      </c>
      <c r="E52">
        <v>6.1</v>
      </c>
      <c r="F52">
        <v>0.99199999999999999</v>
      </c>
    </row>
    <row r="53" spans="4:6">
      <c r="D53">
        <v>10</v>
      </c>
      <c r="E53">
        <v>6.3</v>
      </c>
      <c r="F53">
        <v>0.98699999999999999</v>
      </c>
    </row>
    <row r="54" spans="4:6">
      <c r="D54">
        <v>16</v>
      </c>
      <c r="E54">
        <v>6.7</v>
      </c>
      <c r="F54">
        <v>0.92200000000000004</v>
      </c>
    </row>
    <row r="56" spans="4:6">
      <c r="D56" s="2" t="s">
        <v>235</v>
      </c>
    </row>
    <row r="57" spans="4:6">
      <c r="D57">
        <v>37</v>
      </c>
      <c r="E57">
        <v>4.5999999999999996</v>
      </c>
      <c r="F57">
        <v>0.96</v>
      </c>
    </row>
    <row r="58" spans="4:6">
      <c r="D58">
        <v>28</v>
      </c>
      <c r="E58">
        <v>4.5999999999999996</v>
      </c>
      <c r="F58">
        <v>0.999</v>
      </c>
    </row>
    <row r="59" spans="4:6">
      <c r="D59">
        <v>37</v>
      </c>
      <c r="E59">
        <v>4.5999999999999996</v>
      </c>
      <c r="F59">
        <v>0.999</v>
      </c>
    </row>
    <row r="60" spans="4:6">
      <c r="D60">
        <v>37</v>
      </c>
      <c r="E60">
        <v>4.9000000000000004</v>
      </c>
      <c r="F60">
        <v>0.92600000000000005</v>
      </c>
    </row>
    <row r="61" spans="4:6">
      <c r="D61">
        <v>37</v>
      </c>
      <c r="E61">
        <v>8</v>
      </c>
      <c r="F61">
        <v>0.96</v>
      </c>
    </row>
    <row r="62" spans="4:6">
      <c r="D62">
        <v>34</v>
      </c>
      <c r="E62">
        <v>8</v>
      </c>
      <c r="F62">
        <v>0.999</v>
      </c>
    </row>
    <row r="63" spans="4:6">
      <c r="D63">
        <v>37</v>
      </c>
      <c r="E63">
        <v>8</v>
      </c>
      <c r="F63">
        <v>0.999</v>
      </c>
    </row>
    <row r="64" spans="4:6">
      <c r="D64">
        <v>37</v>
      </c>
      <c r="E64">
        <v>7.7</v>
      </c>
      <c r="F64">
        <v>0.92</v>
      </c>
    </row>
    <row r="65" spans="4:6">
      <c r="D65">
        <v>10</v>
      </c>
      <c r="E65">
        <v>5.5</v>
      </c>
      <c r="F65">
        <v>0.999</v>
      </c>
    </row>
    <row r="66" spans="4:6">
      <c r="D66">
        <v>37</v>
      </c>
      <c r="E66">
        <v>7</v>
      </c>
      <c r="F66">
        <v>0.84</v>
      </c>
    </row>
    <row r="67" spans="4:6">
      <c r="D67">
        <v>37</v>
      </c>
      <c r="E67">
        <v>6</v>
      </c>
      <c r="F67">
        <v>0.86</v>
      </c>
    </row>
    <row r="68" spans="4:6">
      <c r="D68">
        <v>37</v>
      </c>
      <c r="E68">
        <v>5.5</v>
      </c>
      <c r="F68">
        <v>0.88</v>
      </c>
    </row>
    <row r="69" spans="4:6">
      <c r="D69">
        <v>16</v>
      </c>
      <c r="E69">
        <v>4.9000000000000004</v>
      </c>
      <c r="F69">
        <v>0.999</v>
      </c>
    </row>
    <row r="70" spans="4:6">
      <c r="D70">
        <v>10</v>
      </c>
      <c r="E70">
        <v>7</v>
      </c>
      <c r="F70">
        <v>0.999</v>
      </c>
    </row>
    <row r="71" spans="4:6">
      <c r="D71">
        <v>10</v>
      </c>
      <c r="E71">
        <v>7</v>
      </c>
      <c r="F71">
        <v>0.94</v>
      </c>
    </row>
    <row r="72" spans="4:6">
      <c r="D72">
        <v>15.7</v>
      </c>
      <c r="E72">
        <v>4.9000000000000004</v>
      </c>
      <c r="F72">
        <v>0.96</v>
      </c>
    </row>
    <row r="73" spans="4:6">
      <c r="D73">
        <v>16</v>
      </c>
      <c r="E73">
        <v>5</v>
      </c>
      <c r="F73">
        <v>0.94</v>
      </c>
    </row>
    <row r="74" spans="4:6">
      <c r="D74">
        <v>16</v>
      </c>
      <c r="E74">
        <v>6</v>
      </c>
      <c r="F74">
        <v>0.9</v>
      </c>
    </row>
    <row r="75" spans="4:6">
      <c r="D75">
        <v>22</v>
      </c>
      <c r="E75">
        <v>5</v>
      </c>
      <c r="F75">
        <v>0.91500000000000004</v>
      </c>
    </row>
    <row r="76" spans="4:6">
      <c r="D76">
        <v>22</v>
      </c>
      <c r="E76">
        <v>7</v>
      </c>
      <c r="F76">
        <v>0.84</v>
      </c>
    </row>
    <row r="77" spans="4:6">
      <c r="D77">
        <v>28</v>
      </c>
      <c r="E77">
        <v>4.5</v>
      </c>
      <c r="F77">
        <v>0.98</v>
      </c>
    </row>
    <row r="78" spans="4:6">
      <c r="D78">
        <v>34</v>
      </c>
      <c r="E78">
        <v>4.4000000000000004</v>
      </c>
      <c r="F78">
        <v>0.96</v>
      </c>
    </row>
    <row r="79" spans="4:6">
      <c r="D79">
        <v>34</v>
      </c>
      <c r="E79">
        <v>4.4000000000000004</v>
      </c>
      <c r="F79">
        <v>0.97899999999999998</v>
      </c>
    </row>
    <row r="80" spans="4:6">
      <c r="D80">
        <v>34</v>
      </c>
      <c r="E80">
        <v>4.5</v>
      </c>
      <c r="F80">
        <v>0.94</v>
      </c>
    </row>
    <row r="81" spans="4:6">
      <c r="D81">
        <v>34</v>
      </c>
      <c r="E81">
        <v>4.8</v>
      </c>
      <c r="F81">
        <v>0.9</v>
      </c>
    </row>
    <row r="82" spans="4:6">
      <c r="D82">
        <v>34</v>
      </c>
      <c r="E82">
        <v>5</v>
      </c>
      <c r="F82">
        <v>0.88</v>
      </c>
    </row>
    <row r="83" spans="4:6">
      <c r="D83">
        <v>34</v>
      </c>
      <c r="E83">
        <v>5.5</v>
      </c>
      <c r="F83">
        <v>0.86</v>
      </c>
    </row>
    <row r="84" spans="4:6">
      <c r="D84">
        <v>13</v>
      </c>
      <c r="E84">
        <v>6</v>
      </c>
      <c r="F84">
        <v>0.92</v>
      </c>
    </row>
    <row r="85" spans="4:6">
      <c r="D85">
        <v>22</v>
      </c>
      <c r="E85">
        <v>4.9000000000000004</v>
      </c>
      <c r="F85">
        <v>0.92600000000000005</v>
      </c>
    </row>
    <row r="86" spans="4:6">
      <c r="D86">
        <v>34</v>
      </c>
      <c r="E86">
        <v>8</v>
      </c>
      <c r="F86">
        <v>0.96</v>
      </c>
    </row>
    <row r="87" spans="4:6">
      <c r="D87">
        <v>34</v>
      </c>
      <c r="E87">
        <v>7.7</v>
      </c>
      <c r="F87">
        <v>0.92</v>
      </c>
    </row>
    <row r="88" spans="4:6">
      <c r="D88">
        <v>10</v>
      </c>
      <c r="E88">
        <v>5.5</v>
      </c>
      <c r="F88">
        <v>0.96</v>
      </c>
    </row>
    <row r="90" spans="4:6">
      <c r="D90" s="2" t="s">
        <v>236</v>
      </c>
    </row>
    <row r="91" spans="4:6">
      <c r="D91">
        <v>0</v>
      </c>
      <c r="E91">
        <v>4</v>
      </c>
      <c r="F91">
        <v>1</v>
      </c>
    </row>
    <row r="92" spans="4:6">
      <c r="D92">
        <v>0</v>
      </c>
      <c r="E92">
        <v>4</v>
      </c>
      <c r="F92">
        <v>0.8</v>
      </c>
    </row>
    <row r="93" spans="4:6">
      <c r="D93">
        <v>0</v>
      </c>
      <c r="E93">
        <v>11</v>
      </c>
      <c r="F93">
        <v>1</v>
      </c>
    </row>
    <row r="94" spans="4:6">
      <c r="D94">
        <v>0</v>
      </c>
      <c r="E94">
        <v>11</v>
      </c>
      <c r="F94">
        <v>0.8</v>
      </c>
    </row>
    <row r="95" spans="4:6">
      <c r="D95">
        <v>55</v>
      </c>
      <c r="E95">
        <v>4</v>
      </c>
      <c r="F95">
        <v>1</v>
      </c>
    </row>
    <row r="96" spans="4:6">
      <c r="D96">
        <v>55</v>
      </c>
      <c r="E96">
        <v>4</v>
      </c>
      <c r="F96">
        <v>0.8</v>
      </c>
    </row>
    <row r="97" spans="4:6">
      <c r="D97">
        <v>55</v>
      </c>
      <c r="E97">
        <v>11</v>
      </c>
      <c r="F97">
        <v>1</v>
      </c>
    </row>
    <row r="98" spans="4:6">
      <c r="D98">
        <v>55</v>
      </c>
      <c r="E98">
        <v>11</v>
      </c>
      <c r="F98">
        <v>0.8</v>
      </c>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O66"/>
  <sheetViews>
    <sheetView workbookViewId="0">
      <selection activeCell="E28" sqref="E28"/>
    </sheetView>
  </sheetViews>
  <sheetFormatPr defaultColWidth="8.875" defaultRowHeight="12.75"/>
  <cols>
    <col min="1" max="1" width="8.375" style="2" customWidth="1"/>
    <col min="2" max="2" width="12.5" style="2" customWidth="1"/>
    <col min="3" max="3" width="8.875" style="2" customWidth="1"/>
    <col min="4" max="4" width="7.25" style="2" customWidth="1"/>
    <col min="5" max="5" width="6.875" style="2" customWidth="1"/>
    <col min="6" max="6" width="5.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Orgs!B7</f>
        <v xml:space="preserve">Brochothrix thermosphacta </v>
      </c>
    </row>
    <row r="2" spans="1:15" s="24" customFormat="1" ht="14.25">
      <c r="A2" s="26"/>
      <c r="B2" s="27"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0">
        <v>3</v>
      </c>
      <c r="C3" s="75">
        <f>EXP(-3.2)</f>
        <v>4.0762203978366211E-2</v>
      </c>
      <c r="D3" s="30">
        <v>20</v>
      </c>
      <c r="E3" s="30">
        <v>6.8</v>
      </c>
      <c r="F3" s="32" t="s">
        <v>201</v>
      </c>
      <c r="G3" s="30">
        <v>0.7</v>
      </c>
      <c r="H3" s="30"/>
      <c r="I3" s="30"/>
      <c r="J3" s="30"/>
      <c r="K3" s="30"/>
      <c r="L3" s="30"/>
      <c r="M3" s="30"/>
      <c r="N3" s="30"/>
      <c r="O3" s="33"/>
    </row>
    <row r="4" spans="1:15">
      <c r="A4" s="29" t="s">
        <v>202</v>
      </c>
      <c r="B4" s="30"/>
      <c r="C4" s="34"/>
      <c r="D4" s="30">
        <v>1</v>
      </c>
      <c r="E4" s="30">
        <v>5.6</v>
      </c>
      <c r="F4" s="30"/>
      <c r="G4" s="30">
        <v>0</v>
      </c>
      <c r="H4" s="30"/>
      <c r="I4" s="30"/>
      <c r="J4" s="30"/>
      <c r="K4" s="30"/>
      <c r="L4" s="30"/>
      <c r="M4" s="30"/>
      <c r="N4" s="30"/>
      <c r="O4" s="33"/>
    </row>
    <row r="5" spans="1:15" ht="13.5" thickBot="1">
      <c r="A5" s="35" t="s">
        <v>203</v>
      </c>
      <c r="B5" s="36"/>
      <c r="C5" s="37"/>
      <c r="D5" s="36">
        <v>30</v>
      </c>
      <c r="E5" s="36">
        <v>6.8</v>
      </c>
      <c r="F5" s="36"/>
      <c r="G5" s="36">
        <v>8</v>
      </c>
      <c r="H5" s="36"/>
      <c r="I5" s="36"/>
      <c r="J5" s="36"/>
      <c r="K5" s="36"/>
      <c r="L5" s="36"/>
      <c r="M5" s="36"/>
      <c r="N5" s="36"/>
      <c r="O5" s="38"/>
    </row>
    <row r="6" spans="1:15" ht="13.5" thickBot="1">
      <c r="A6"/>
      <c r="C6" s="25"/>
    </row>
    <row r="7" spans="1:15">
      <c r="A7" s="39"/>
      <c r="B7" s="27"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c r="B8" s="41">
        <v>31010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c r="A9" s="2" t="s">
        <v>212</v>
      </c>
      <c r="D9" s="2">
        <v>4</v>
      </c>
      <c r="E9" s="2">
        <v>0.8</v>
      </c>
      <c r="F9" s="2">
        <v>0.02</v>
      </c>
    </row>
    <row r="10" spans="1:15" ht="14.25">
      <c r="A10" s="39"/>
      <c r="B10" s="53" t="s">
        <v>213</v>
      </c>
      <c r="C10" s="27"/>
      <c r="D10" s="27"/>
      <c r="E10" s="43"/>
      <c r="F10" s="43"/>
      <c r="G10" s="44"/>
      <c r="H10" s="56" t="s">
        <v>214</v>
      </c>
      <c r="I10" s="45"/>
    </row>
    <row r="11" spans="1:15">
      <c r="A11" s="29" t="s">
        <v>215</v>
      </c>
      <c r="B11" s="32">
        <v>0.24</v>
      </c>
      <c r="C11" s="46"/>
      <c r="D11" s="30"/>
      <c r="E11" s="30"/>
      <c r="F11" s="30"/>
      <c r="G11" s="47"/>
      <c r="H11" s="30"/>
      <c r="I11" s="33"/>
    </row>
    <row r="12" spans="1:15" ht="13.5" thickBot="1">
      <c r="A12" s="35" t="s">
        <v>216</v>
      </c>
      <c r="B12" s="48" t="str">
        <f>" =EXP("&amp;B14&amp;"*("&amp;C14&amp;")+"&amp;B15&amp;"*("&amp;C15&amp;")+"&amp;B16&amp;"*("&amp;C16&amp;")+"&amp;B17&amp;"*("&amp;C17&amp;")+"&amp;B18&amp;"*("&amp;C18&amp;")+"&amp;B19&amp;"*("&amp;C19&amp;")+"&amp;B20&amp;"*("&amp;C20&amp;")+"&amp;B21&amp;"*("&amp;C21&amp;")+"&amp;B22&amp;"*("&amp;C22&amp;")+"&amp;B23&amp;"*("&amp;C23&amp;"))"</f>
        <v xml:space="preserve"> =EXP(1*(-26.15)+tr*(0.09634)+pr*(7.385)+bw*(7.674)+tr*pr*(0.02147)+tr*bw*(-0.1302)+pr*bw*(-0.5269)+tr^2*(-0.005032)+pr^2*(-0.5866)+bw^2*(-31.36))</v>
      </c>
      <c r="C12" s="49"/>
      <c r="D12" s="50"/>
      <c r="E12" s="49"/>
      <c r="F12" s="50"/>
      <c r="G12" s="51"/>
      <c r="H12" s="36">
        <v>7.82</v>
      </c>
      <c r="I12" s="38"/>
    </row>
    <row r="14" spans="1:15">
      <c r="A14" s="1">
        <v>1</v>
      </c>
      <c r="B14" s="24">
        <v>1</v>
      </c>
      <c r="C14" s="2">
        <v>-26.15</v>
      </c>
      <c r="E14" s="4"/>
    </row>
    <row r="15" spans="1:15">
      <c r="A15" s="1">
        <v>20</v>
      </c>
      <c r="B15" s="24" t="s">
        <v>45</v>
      </c>
      <c r="C15" s="2">
        <v>9.6339999999999995E-2</v>
      </c>
      <c r="E15" s="4"/>
    </row>
    <row r="16" spans="1:15">
      <c r="A16" s="1">
        <v>7</v>
      </c>
      <c r="B16" s="24" t="s">
        <v>46</v>
      </c>
      <c r="C16" s="2">
        <v>7.3849999999999998</v>
      </c>
    </row>
    <row r="17" spans="1:6">
      <c r="A17" s="1">
        <v>0.5</v>
      </c>
      <c r="B17" s="24" t="s">
        <v>47</v>
      </c>
      <c r="C17" s="2">
        <v>7.6740000000000004</v>
      </c>
    </row>
    <row r="18" spans="1:6">
      <c r="A18" s="1">
        <f>A$15*A$16</f>
        <v>140</v>
      </c>
      <c r="B18" s="24" t="s">
        <v>222</v>
      </c>
      <c r="C18" s="2">
        <v>2.147E-2</v>
      </c>
    </row>
    <row r="19" spans="1:6">
      <c r="A19" s="1">
        <f>A$15*A$17</f>
        <v>10</v>
      </c>
      <c r="B19" s="24" t="s">
        <v>225</v>
      </c>
      <c r="C19" s="2">
        <v>-0.13020000000000001</v>
      </c>
    </row>
    <row r="20" spans="1:6">
      <c r="A20" s="1">
        <f>A$16*A$17</f>
        <v>3.5</v>
      </c>
      <c r="B20" s="24" t="s">
        <v>227</v>
      </c>
      <c r="C20" s="2">
        <v>-0.52690000000000003</v>
      </c>
    </row>
    <row r="21" spans="1:6">
      <c r="A21" s="1">
        <f>A$15^2</f>
        <v>400</v>
      </c>
      <c r="B21" s="24" t="s">
        <v>229</v>
      </c>
      <c r="C21" s="2">
        <v>-5.032E-3</v>
      </c>
    </row>
    <row r="22" spans="1:6">
      <c r="A22" s="1">
        <f>A$16^2</f>
        <v>49</v>
      </c>
      <c r="B22" s="24" t="s">
        <v>231</v>
      </c>
      <c r="C22" s="2">
        <v>-0.58660000000000001</v>
      </c>
    </row>
    <row r="23" spans="1:6">
      <c r="A23" s="1">
        <f>A$17^2</f>
        <v>0.25</v>
      </c>
      <c r="B23" s="24" t="s">
        <v>233</v>
      </c>
      <c r="C23" s="2">
        <v>-31.36</v>
      </c>
    </row>
    <row r="24" spans="1:6">
      <c r="A24" s="1"/>
      <c r="B24" s="24"/>
    </row>
    <row r="25" spans="1:6">
      <c r="A25" s="1"/>
      <c r="B25" s="24"/>
    </row>
    <row r="26" spans="1:6">
      <c r="A26" s="1"/>
      <c r="B26" s="24"/>
    </row>
    <row r="27" spans="1:6">
      <c r="A27" s="1"/>
      <c r="B27" s="24"/>
    </row>
    <row r="28" spans="1:6">
      <c r="A28" s="1"/>
      <c r="B28" s="24"/>
    </row>
    <row r="30" spans="1:6">
      <c r="D30" s="124" t="s">
        <v>234</v>
      </c>
    </row>
    <row r="31" spans="1:6">
      <c r="D31">
        <v>1</v>
      </c>
      <c r="E31">
        <v>5.6</v>
      </c>
      <c r="F31">
        <v>0.996</v>
      </c>
    </row>
    <row r="32" spans="1:6">
      <c r="D32">
        <v>1</v>
      </c>
      <c r="E32">
        <v>6.8</v>
      </c>
      <c r="F32">
        <v>0.996</v>
      </c>
    </row>
    <row r="33" spans="4:6">
      <c r="D33">
        <v>1</v>
      </c>
      <c r="E33">
        <v>5.6</v>
      </c>
      <c r="F33">
        <v>0.95</v>
      </c>
    </row>
    <row r="34" spans="4:6">
      <c r="D34">
        <v>1</v>
      </c>
      <c r="E34">
        <v>6.8</v>
      </c>
      <c r="F34">
        <v>0.95</v>
      </c>
    </row>
    <row r="35" spans="4:6">
      <c r="D35">
        <v>20</v>
      </c>
      <c r="E35">
        <v>5.6</v>
      </c>
      <c r="F35">
        <v>0.95</v>
      </c>
    </row>
    <row r="36" spans="4:6">
      <c r="D36">
        <v>20</v>
      </c>
      <c r="E36">
        <v>6.8</v>
      </c>
      <c r="F36">
        <v>0.95</v>
      </c>
    </row>
    <row r="37" spans="4:6">
      <c r="D37">
        <v>30</v>
      </c>
      <c r="E37">
        <v>5.6</v>
      </c>
      <c r="F37">
        <v>0.996</v>
      </c>
    </row>
    <row r="38" spans="4:6">
      <c r="D38">
        <v>30</v>
      </c>
      <c r="E38">
        <v>6.8</v>
      </c>
      <c r="F38">
        <v>0.996</v>
      </c>
    </row>
    <row r="39" spans="4:6">
      <c r="D39">
        <v>30</v>
      </c>
      <c r="E39">
        <v>5.6</v>
      </c>
      <c r="F39">
        <v>0.97599999999999998</v>
      </c>
    </row>
    <row r="40" spans="4:6">
      <c r="D40">
        <v>30</v>
      </c>
      <c r="E40">
        <v>6.8</v>
      </c>
      <c r="F40">
        <v>0.97599999999999998</v>
      </c>
    </row>
    <row r="42" spans="4:6">
      <c r="D42" s="2" t="s">
        <v>235</v>
      </c>
    </row>
    <row r="43" spans="4:6">
      <c r="D43">
        <v>1</v>
      </c>
      <c r="E43">
        <v>5.6</v>
      </c>
      <c r="F43">
        <v>0.999</v>
      </c>
    </row>
    <row r="44" spans="4:6">
      <c r="D44">
        <v>1</v>
      </c>
      <c r="E44">
        <v>7</v>
      </c>
      <c r="F44">
        <v>0.95</v>
      </c>
    </row>
    <row r="45" spans="4:6">
      <c r="D45">
        <v>1</v>
      </c>
      <c r="E45">
        <v>7</v>
      </c>
      <c r="F45">
        <v>0.999</v>
      </c>
    </row>
    <row r="46" spans="4:6">
      <c r="D46">
        <v>25</v>
      </c>
      <c r="E46">
        <v>5.6</v>
      </c>
      <c r="F46">
        <v>0.95</v>
      </c>
    </row>
    <row r="47" spans="4:6">
      <c r="D47">
        <v>25</v>
      </c>
      <c r="E47">
        <v>7</v>
      </c>
      <c r="F47">
        <v>0.95</v>
      </c>
    </row>
    <row r="48" spans="4:6">
      <c r="D48">
        <v>2</v>
      </c>
      <c r="E48">
        <v>5.5</v>
      </c>
      <c r="F48">
        <v>0.999</v>
      </c>
    </row>
    <row r="49" spans="4:6">
      <c r="D49">
        <v>2</v>
      </c>
      <c r="E49">
        <v>5.5</v>
      </c>
      <c r="F49">
        <v>0.97</v>
      </c>
    </row>
    <row r="50" spans="4:6">
      <c r="D50">
        <v>2</v>
      </c>
      <c r="E50">
        <v>8</v>
      </c>
      <c r="F50">
        <v>0.999</v>
      </c>
    </row>
    <row r="51" spans="4:6">
      <c r="D51">
        <v>2</v>
      </c>
      <c r="E51">
        <v>8</v>
      </c>
      <c r="F51">
        <v>0.97</v>
      </c>
    </row>
    <row r="52" spans="4:6">
      <c r="D52">
        <v>37</v>
      </c>
      <c r="E52">
        <v>5.5</v>
      </c>
      <c r="F52">
        <v>0.999</v>
      </c>
    </row>
    <row r="53" spans="4:6">
      <c r="D53">
        <v>37</v>
      </c>
      <c r="E53">
        <v>5.5</v>
      </c>
      <c r="F53">
        <v>0.97</v>
      </c>
    </row>
    <row r="54" spans="4:6">
      <c r="D54">
        <v>37</v>
      </c>
      <c r="E54">
        <v>8</v>
      </c>
      <c r="F54">
        <v>0.999</v>
      </c>
    </row>
    <row r="55" spans="4:6">
      <c r="D55">
        <v>37</v>
      </c>
      <c r="E55">
        <v>8</v>
      </c>
      <c r="F55">
        <v>0.97</v>
      </c>
    </row>
    <row r="56" spans="4:6">
      <c r="D56">
        <v>1</v>
      </c>
      <c r="E56">
        <v>5.6</v>
      </c>
      <c r="F56">
        <v>0.95</v>
      </c>
    </row>
    <row r="58" spans="4:6">
      <c r="D58" s="2" t="s">
        <v>236</v>
      </c>
    </row>
    <row r="59" spans="4:6">
      <c r="D59">
        <v>-5</v>
      </c>
      <c r="E59">
        <v>4</v>
      </c>
      <c r="F59">
        <v>0.9</v>
      </c>
    </row>
    <row r="60" spans="4:6">
      <c r="D60">
        <v>-5</v>
      </c>
      <c r="E60">
        <v>4</v>
      </c>
      <c r="F60">
        <v>1</v>
      </c>
    </row>
    <row r="61" spans="4:6">
      <c r="D61">
        <v>-5</v>
      </c>
      <c r="E61">
        <v>11</v>
      </c>
      <c r="F61">
        <v>0.9</v>
      </c>
    </row>
    <row r="62" spans="4:6">
      <c r="D62">
        <v>-5</v>
      </c>
      <c r="E62">
        <v>11</v>
      </c>
      <c r="F62">
        <v>1</v>
      </c>
    </row>
    <row r="63" spans="4:6">
      <c r="D63">
        <v>55</v>
      </c>
      <c r="E63">
        <v>4</v>
      </c>
      <c r="F63">
        <v>0.9</v>
      </c>
    </row>
    <row r="64" spans="4:6">
      <c r="D64">
        <v>55</v>
      </c>
      <c r="E64">
        <v>4</v>
      </c>
      <c r="F64">
        <v>1</v>
      </c>
    </row>
    <row r="65" spans="4:6">
      <c r="D65">
        <v>55</v>
      </c>
      <c r="E65">
        <v>11</v>
      </c>
      <c r="F65">
        <v>0.9</v>
      </c>
    </row>
    <row r="66" spans="4:6">
      <c r="D66">
        <v>55</v>
      </c>
      <c r="E66">
        <v>11</v>
      </c>
      <c r="F66">
        <v>1</v>
      </c>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94"/>
  <sheetViews>
    <sheetView workbookViewId="0">
      <selection activeCell="E28" sqref="E28"/>
    </sheetView>
  </sheetViews>
  <sheetFormatPr defaultColWidth="8.875" defaultRowHeight="12.75"/>
  <cols>
    <col min="1" max="1" width="8.375" style="2" customWidth="1"/>
    <col min="2" max="2" width="12.5" style="2" customWidth="1"/>
    <col min="3" max="3" width="8.875" style="2" customWidth="1"/>
    <col min="4" max="4" width="7.25" style="2" customWidth="1"/>
    <col min="5" max="5" width="6.875" style="2" customWidth="1"/>
    <col min="6" max="6" width="5.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Orgs!B8</f>
        <v>Clostridium botulinum (non.prot)</v>
      </c>
    </row>
    <row r="2" spans="1:15" s="24" customFormat="1" ht="14.25">
      <c r="A2" s="26"/>
      <c r="B2" s="27"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0">
        <v>3</v>
      </c>
      <c r="C3" s="75">
        <f>EXP(-10.2)</f>
        <v>3.7170318684126734E-5</v>
      </c>
      <c r="D3" s="30">
        <v>20</v>
      </c>
      <c r="E3" s="30">
        <v>7</v>
      </c>
      <c r="F3" s="32" t="s">
        <v>201</v>
      </c>
      <c r="G3" s="30">
        <v>0.5</v>
      </c>
      <c r="H3" s="30"/>
      <c r="I3" s="30"/>
      <c r="J3" s="30"/>
      <c r="K3" s="30"/>
      <c r="L3" s="30"/>
      <c r="M3" s="30"/>
      <c r="N3" s="30"/>
      <c r="O3" s="33"/>
    </row>
    <row r="4" spans="1:15">
      <c r="A4" s="29" t="s">
        <v>202</v>
      </c>
      <c r="B4" s="30"/>
      <c r="C4" s="34"/>
      <c r="D4" s="30">
        <v>4</v>
      </c>
      <c r="E4" s="30">
        <v>5.0999999999999996</v>
      </c>
      <c r="F4" s="30"/>
      <c r="G4" s="30">
        <v>0</v>
      </c>
      <c r="H4" s="30"/>
      <c r="I4" s="30"/>
      <c r="J4" s="30"/>
      <c r="K4" s="30"/>
      <c r="L4" s="30"/>
      <c r="M4" s="30"/>
      <c r="N4" s="30"/>
      <c r="O4" s="33"/>
    </row>
    <row r="5" spans="1:15" ht="13.5" thickBot="1">
      <c r="A5" s="35" t="s">
        <v>203</v>
      </c>
      <c r="B5" s="36"/>
      <c r="C5" s="37"/>
      <c r="D5" s="36">
        <v>30</v>
      </c>
      <c r="E5" s="36">
        <v>7.5</v>
      </c>
      <c r="F5" s="36"/>
      <c r="G5" s="36">
        <v>4.5</v>
      </c>
      <c r="H5" s="36"/>
      <c r="I5" s="36"/>
      <c r="J5" s="36"/>
      <c r="K5" s="36"/>
      <c r="L5" s="36"/>
      <c r="M5" s="36"/>
      <c r="N5" s="36"/>
      <c r="O5" s="38"/>
    </row>
    <row r="6" spans="1:15" ht="13.5" thickBot="1">
      <c r="A6"/>
      <c r="C6" s="25"/>
    </row>
    <row r="7" spans="1:15">
      <c r="A7" s="39"/>
      <c r="B7" s="27"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c r="B8" s="41">
        <v>31010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c r="A9" s="2" t="s">
        <v>212</v>
      </c>
      <c r="D9" s="2">
        <v>3</v>
      </c>
      <c r="E9" s="2">
        <v>0.6</v>
      </c>
      <c r="F9" s="2">
        <v>1.7999999999999999E-2</v>
      </c>
    </row>
    <row r="10" spans="1:15" ht="14.25">
      <c r="A10" s="39"/>
      <c r="B10" s="53" t="s">
        <v>213</v>
      </c>
      <c r="C10" s="27"/>
      <c r="D10" s="27"/>
      <c r="E10" s="43"/>
      <c r="F10" s="43"/>
      <c r="G10" s="44"/>
      <c r="H10" s="56" t="s">
        <v>214</v>
      </c>
      <c r="I10" s="45"/>
    </row>
    <row r="11" spans="1:15">
      <c r="A11" s="29" t="s">
        <v>215</v>
      </c>
      <c r="B11" s="32">
        <v>0.28999999999999998</v>
      </c>
      <c r="C11" s="46"/>
      <c r="D11" s="30"/>
      <c r="E11" s="30"/>
      <c r="F11" s="30"/>
      <c r="G11" s="47"/>
      <c r="H11" s="30"/>
      <c r="I11" s="33"/>
    </row>
    <row r="12" spans="1:15" ht="13.5" thickBot="1">
      <c r="A12" s="35" t="s">
        <v>216</v>
      </c>
      <c r="B12" s="48" t="str">
        <f>" =EXP("&amp;B14&amp;"*("&amp;C14&amp;")+"&amp;B15&amp;"*("&amp;C15&amp;")+"&amp;B16&amp;"*("&amp;C16&amp;")+"&amp;B17&amp;"*("&amp;C17&amp;")+"&amp;B18&amp;"*("&amp;C18&amp;")+"&amp;B19&amp;"*("&amp;C19&amp;")+"&amp;B20&amp;"*("&amp;C20&amp;")+"&amp;B21&amp;"*("&amp;C21&amp;")+"&amp;B22&amp;"*("&amp;C22&amp;")+"&amp;B23&amp;"*("&amp;C23&amp;"))"</f>
        <v xml:space="preserve"> =EXP(1*(-30.16)+tr*(0.4477)+pr*(7.168)+bw*(24.66)+tr*pr*(0.0001342)+tr*bw*(-0.03425)+pr*bw*(-0.9938)+tr^2*(-0.008835)+pr^2*(-0.5234)+bw^2*(-164.2))</v>
      </c>
      <c r="C12" s="49"/>
      <c r="D12" s="50"/>
      <c r="E12" s="49"/>
      <c r="F12" s="50"/>
      <c r="G12" s="51"/>
      <c r="H12" s="36">
        <f>16.2/2.3</f>
        <v>7.0434782608695654</v>
      </c>
      <c r="I12" s="38"/>
    </row>
    <row r="14" spans="1:15">
      <c r="A14" s="1">
        <v>1</v>
      </c>
      <c r="B14" s="24">
        <v>1</v>
      </c>
      <c r="C14" s="2">
        <v>-30.16</v>
      </c>
      <c r="D14"/>
      <c r="E14" s="4"/>
    </row>
    <row r="15" spans="1:15">
      <c r="A15" s="1">
        <v>20</v>
      </c>
      <c r="B15" s="24" t="s">
        <v>45</v>
      </c>
      <c r="C15" s="2">
        <v>0.44769999999999999</v>
      </c>
      <c r="E15" s="4"/>
    </row>
    <row r="16" spans="1:15">
      <c r="A16" s="1">
        <v>7</v>
      </c>
      <c r="B16" s="24" t="s">
        <v>46</v>
      </c>
      <c r="C16" s="2">
        <v>7.1680000000000001</v>
      </c>
    </row>
    <row r="17" spans="1:6">
      <c r="A17" s="1">
        <v>0.5</v>
      </c>
      <c r="B17" s="24" t="s">
        <v>47</v>
      </c>
      <c r="C17" s="2">
        <v>24.66</v>
      </c>
    </row>
    <row r="18" spans="1:6">
      <c r="A18" s="1">
        <f>A$15*A$16</f>
        <v>140</v>
      </c>
      <c r="B18" s="24" t="s">
        <v>222</v>
      </c>
      <c r="C18" s="2">
        <v>1.3420000000000001E-4</v>
      </c>
    </row>
    <row r="19" spans="1:6">
      <c r="A19" s="1">
        <f>A$15*A$17</f>
        <v>10</v>
      </c>
      <c r="B19" s="24" t="s">
        <v>225</v>
      </c>
      <c r="C19" s="2">
        <v>-3.4250000000000003E-2</v>
      </c>
    </row>
    <row r="20" spans="1:6">
      <c r="A20" s="1">
        <f>A$16*A$17</f>
        <v>3.5</v>
      </c>
      <c r="B20" s="24" t="s">
        <v>227</v>
      </c>
      <c r="C20" s="2">
        <v>-0.99380000000000002</v>
      </c>
    </row>
    <row r="21" spans="1:6">
      <c r="A21" s="1">
        <f>A$15^2</f>
        <v>400</v>
      </c>
      <c r="B21" s="24" t="s">
        <v>229</v>
      </c>
      <c r="C21" s="2">
        <v>-8.8350000000000008E-3</v>
      </c>
    </row>
    <row r="22" spans="1:6">
      <c r="A22" s="1">
        <f>A$16^2</f>
        <v>49</v>
      </c>
      <c r="B22" s="24" t="s">
        <v>231</v>
      </c>
      <c r="C22" s="2">
        <v>-0.52339999999999998</v>
      </c>
    </row>
    <row r="23" spans="1:6">
      <c r="A23" s="1">
        <f>A$17^2</f>
        <v>0.25</v>
      </c>
      <c r="B23" s="24" t="s">
        <v>233</v>
      </c>
      <c r="C23" s="2">
        <v>-164.2</v>
      </c>
    </row>
    <row r="24" spans="1:6">
      <c r="A24" s="1"/>
      <c r="B24" s="24"/>
    </row>
    <row r="25" spans="1:6">
      <c r="A25" s="1"/>
      <c r="B25" s="24"/>
    </row>
    <row r="26" spans="1:6">
      <c r="A26" s="1"/>
      <c r="B26" s="24"/>
    </row>
    <row r="27" spans="1:6">
      <c r="A27" s="1"/>
      <c r="B27" s="24"/>
    </row>
    <row r="28" spans="1:6">
      <c r="A28" s="1"/>
      <c r="B28" s="24"/>
    </row>
    <row r="30" spans="1:6">
      <c r="D30" s="124" t="s">
        <v>234</v>
      </c>
    </row>
    <row r="31" spans="1:6">
      <c r="D31">
        <v>10</v>
      </c>
      <c r="E31">
        <v>5.4</v>
      </c>
      <c r="F31">
        <v>0.9890000000000001</v>
      </c>
    </row>
    <row r="32" spans="1:6">
      <c r="D32">
        <v>10</v>
      </c>
      <c r="E32">
        <v>7.2</v>
      </c>
      <c r="F32">
        <v>0.97400000000000009</v>
      </c>
    </row>
    <row r="33" spans="4:6">
      <c r="D33">
        <v>10</v>
      </c>
      <c r="E33">
        <v>5.9</v>
      </c>
      <c r="F33">
        <v>0.97699999999999998</v>
      </c>
    </row>
    <row r="34" spans="4:6">
      <c r="D34">
        <v>20.100000000000001</v>
      </c>
      <c r="E34">
        <v>5.2</v>
      </c>
      <c r="F34">
        <v>0.99900000000000011</v>
      </c>
    </row>
    <row r="35" spans="4:6">
      <c r="D35">
        <v>5</v>
      </c>
      <c r="E35">
        <v>7.2</v>
      </c>
      <c r="F35">
        <v>0.99900000000000011</v>
      </c>
    </row>
    <row r="36" spans="4:6">
      <c r="D36">
        <v>30</v>
      </c>
      <c r="E36">
        <v>7.3</v>
      </c>
      <c r="F36">
        <v>0.99900000000000011</v>
      </c>
    </row>
    <row r="37" spans="4:6">
      <c r="D37">
        <v>25</v>
      </c>
      <c r="E37">
        <v>5.5</v>
      </c>
      <c r="F37">
        <v>0.9890000000000001</v>
      </c>
    </row>
    <row r="38" spans="4:6">
      <c r="D38">
        <v>24</v>
      </c>
      <c r="E38">
        <v>6.8</v>
      </c>
      <c r="F38">
        <v>0.97699999999999998</v>
      </c>
    </row>
    <row r="39" spans="4:6">
      <c r="D39">
        <v>5.0999999999999996</v>
      </c>
      <c r="E39">
        <v>7</v>
      </c>
      <c r="F39">
        <v>0.98299999999999998</v>
      </c>
    </row>
    <row r="40" spans="4:6">
      <c r="D40">
        <v>6.9</v>
      </c>
      <c r="E40">
        <v>6.3</v>
      </c>
      <c r="F40">
        <v>0.97699999999999998</v>
      </c>
    </row>
    <row r="41" spans="4:6">
      <c r="D41">
        <v>5</v>
      </c>
      <c r="E41">
        <v>6</v>
      </c>
      <c r="F41">
        <v>0.99900000000000011</v>
      </c>
    </row>
    <row r="42" spans="4:6">
      <c r="D42">
        <v>29.9</v>
      </c>
      <c r="E42">
        <v>5.4</v>
      </c>
      <c r="F42">
        <v>0.99900000000000011</v>
      </c>
    </row>
    <row r="43" spans="4:6">
      <c r="D43">
        <v>15</v>
      </c>
      <c r="E43">
        <v>5.3</v>
      </c>
      <c r="F43">
        <v>0.9890000000000001</v>
      </c>
    </row>
    <row r="44" spans="4:6">
      <c r="D44">
        <v>15</v>
      </c>
      <c r="E44">
        <v>6.2</v>
      </c>
      <c r="F44">
        <v>0.97400000000000009</v>
      </c>
    </row>
    <row r="45" spans="4:6">
      <c r="D45">
        <v>4</v>
      </c>
      <c r="E45">
        <v>7.5</v>
      </c>
      <c r="F45">
        <v>0.995</v>
      </c>
    </row>
    <row r="46" spans="4:6">
      <c r="D46">
        <v>7.9</v>
      </c>
      <c r="E46">
        <v>5.3</v>
      </c>
      <c r="F46">
        <v>0.995</v>
      </c>
    </row>
    <row r="47" spans="4:6">
      <c r="D47">
        <v>4.0999999999999996</v>
      </c>
      <c r="E47">
        <v>6.9</v>
      </c>
      <c r="F47">
        <v>0.98599999999999999</v>
      </c>
    </row>
    <row r="48" spans="4:6">
      <c r="D48">
        <v>9.9</v>
      </c>
      <c r="E48">
        <v>5.0999999999999996</v>
      </c>
      <c r="F48">
        <v>0.99900000000000011</v>
      </c>
    </row>
    <row r="49" spans="4:6">
      <c r="D49">
        <v>5</v>
      </c>
      <c r="E49">
        <v>6.1</v>
      </c>
      <c r="F49">
        <v>0.98299999999999998</v>
      </c>
    </row>
    <row r="50" spans="4:6">
      <c r="D50">
        <v>5</v>
      </c>
      <c r="E50">
        <v>5.7</v>
      </c>
      <c r="F50">
        <v>0.999</v>
      </c>
    </row>
    <row r="51" spans="4:6">
      <c r="D51">
        <v>10</v>
      </c>
      <c r="E51">
        <v>7</v>
      </c>
      <c r="F51">
        <v>0.99900000000000011</v>
      </c>
    </row>
    <row r="52" spans="4:6">
      <c r="D52">
        <v>30</v>
      </c>
      <c r="E52">
        <v>7</v>
      </c>
      <c r="F52">
        <v>0.99900000000000011</v>
      </c>
    </row>
    <row r="53" spans="4:6">
      <c r="D53">
        <v>4.9000000000000004</v>
      </c>
      <c r="E53">
        <v>6.7</v>
      </c>
      <c r="F53">
        <v>0.99900000000000011</v>
      </c>
    </row>
    <row r="55" spans="4:6">
      <c r="D55" s="2" t="s">
        <v>235</v>
      </c>
    </row>
    <row r="56" spans="4:6">
      <c r="D56">
        <v>37</v>
      </c>
      <c r="E56">
        <v>7.2</v>
      </c>
      <c r="F56">
        <v>0.97400000000000009</v>
      </c>
    </row>
    <row r="57" spans="4:6">
      <c r="D57">
        <v>37</v>
      </c>
      <c r="E57">
        <v>5.9</v>
      </c>
      <c r="F57">
        <v>0.97699999999999998</v>
      </c>
    </row>
    <row r="58" spans="4:6">
      <c r="D58">
        <v>37</v>
      </c>
      <c r="E58">
        <v>7.3</v>
      </c>
      <c r="F58">
        <v>0.99900000000000011</v>
      </c>
    </row>
    <row r="59" spans="4:6">
      <c r="D59">
        <v>6.9</v>
      </c>
      <c r="E59">
        <v>7</v>
      </c>
      <c r="F59">
        <v>0.97699999999999998</v>
      </c>
    </row>
    <row r="60" spans="4:6">
      <c r="D60">
        <v>37</v>
      </c>
      <c r="E60">
        <v>5.3</v>
      </c>
      <c r="F60">
        <v>0.9890000000000001</v>
      </c>
    </row>
    <row r="61" spans="4:6">
      <c r="D61">
        <v>37</v>
      </c>
      <c r="E61">
        <v>6.2</v>
      </c>
      <c r="F61">
        <v>0.97400000000000009</v>
      </c>
    </row>
    <row r="62" spans="4:6">
      <c r="D62">
        <v>37</v>
      </c>
      <c r="E62">
        <v>7.5</v>
      </c>
      <c r="F62">
        <v>0.995</v>
      </c>
    </row>
    <row r="63" spans="4:6">
      <c r="D63">
        <v>4</v>
      </c>
      <c r="E63">
        <v>7</v>
      </c>
      <c r="F63">
        <v>0.995</v>
      </c>
    </row>
    <row r="64" spans="4:6">
      <c r="D64">
        <v>4</v>
      </c>
      <c r="E64">
        <v>7.5</v>
      </c>
      <c r="F64">
        <v>0.999</v>
      </c>
    </row>
    <row r="65" spans="4:6">
      <c r="D65">
        <v>37</v>
      </c>
      <c r="E65">
        <v>7.5</v>
      </c>
      <c r="F65">
        <v>0.999</v>
      </c>
    </row>
    <row r="66" spans="4:6">
      <c r="D66">
        <v>4</v>
      </c>
      <c r="E66">
        <v>7</v>
      </c>
      <c r="F66">
        <v>0.999</v>
      </c>
    </row>
    <row r="67" spans="4:6">
      <c r="D67">
        <v>7.9</v>
      </c>
      <c r="E67">
        <v>5.3</v>
      </c>
      <c r="F67">
        <v>0.999</v>
      </c>
    </row>
    <row r="68" spans="4:6">
      <c r="D68">
        <v>4.0999999999999996</v>
      </c>
      <c r="E68">
        <v>7</v>
      </c>
      <c r="F68">
        <v>0.98599999999999999</v>
      </c>
    </row>
    <row r="69" spans="4:6">
      <c r="D69">
        <v>37</v>
      </c>
      <c r="E69">
        <v>5.0999999999999996</v>
      </c>
      <c r="F69">
        <v>0.99900000000000011</v>
      </c>
    </row>
    <row r="70" spans="4:6">
      <c r="D70">
        <v>9.9</v>
      </c>
      <c r="E70">
        <v>5.0999999999999996</v>
      </c>
      <c r="F70">
        <v>0.999</v>
      </c>
    </row>
    <row r="71" spans="4:6">
      <c r="D71">
        <v>37</v>
      </c>
      <c r="E71">
        <v>5.0999999999999996</v>
      </c>
      <c r="F71">
        <v>0.999</v>
      </c>
    </row>
    <row r="72" spans="4:6">
      <c r="D72">
        <v>10</v>
      </c>
      <c r="E72">
        <v>7.2</v>
      </c>
      <c r="F72">
        <v>0.97400000000000009</v>
      </c>
    </row>
    <row r="73" spans="4:6">
      <c r="D73">
        <v>10</v>
      </c>
      <c r="E73">
        <v>5.9</v>
      </c>
      <c r="F73">
        <v>0.97699999999999998</v>
      </c>
    </row>
    <row r="74" spans="4:6">
      <c r="D74">
        <v>5</v>
      </c>
      <c r="E74">
        <v>7.2</v>
      </c>
      <c r="F74">
        <v>0.99900000000000011</v>
      </c>
    </row>
    <row r="75" spans="4:6">
      <c r="D75">
        <v>6.9</v>
      </c>
      <c r="E75">
        <v>6.3</v>
      </c>
      <c r="F75">
        <v>0.97699999999999998</v>
      </c>
    </row>
    <row r="76" spans="4:6">
      <c r="D76">
        <v>5</v>
      </c>
      <c r="E76">
        <v>6</v>
      </c>
      <c r="F76">
        <v>0.99900000000000011</v>
      </c>
    </row>
    <row r="77" spans="4:6">
      <c r="D77">
        <v>15</v>
      </c>
      <c r="E77">
        <v>5.3</v>
      </c>
      <c r="F77">
        <v>0.9890000000000001</v>
      </c>
    </row>
    <row r="78" spans="4:6">
      <c r="D78">
        <v>15</v>
      </c>
      <c r="E78">
        <v>6.2</v>
      </c>
      <c r="F78">
        <v>0.97400000000000009</v>
      </c>
    </row>
    <row r="79" spans="4:6">
      <c r="D79">
        <v>4</v>
      </c>
      <c r="E79">
        <v>7.5</v>
      </c>
      <c r="F79">
        <v>0.995</v>
      </c>
    </row>
    <row r="80" spans="4:6">
      <c r="D80">
        <v>7.9</v>
      </c>
      <c r="E80">
        <v>5.3</v>
      </c>
      <c r="F80">
        <v>0.995</v>
      </c>
    </row>
    <row r="81" spans="4:6">
      <c r="D81">
        <v>4.0999999999999996</v>
      </c>
      <c r="E81">
        <v>6.9</v>
      </c>
      <c r="F81">
        <v>0.98599999999999999</v>
      </c>
    </row>
    <row r="82" spans="4:6">
      <c r="D82">
        <v>9.9</v>
      </c>
      <c r="E82">
        <v>5.0999999999999996</v>
      </c>
      <c r="F82">
        <v>0.99900000000000011</v>
      </c>
    </row>
    <row r="83" spans="4:6">
      <c r="D83">
        <v>5</v>
      </c>
      <c r="E83">
        <v>6.1</v>
      </c>
      <c r="F83">
        <v>0.98299999999999998</v>
      </c>
    </row>
    <row r="84" spans="4:6">
      <c r="D84">
        <v>5</v>
      </c>
      <c r="E84">
        <v>5.7</v>
      </c>
      <c r="F84">
        <v>0.999</v>
      </c>
    </row>
    <row r="86" spans="4:6">
      <c r="D86" s="2" t="s">
        <v>236</v>
      </c>
    </row>
    <row r="87" spans="4:6">
      <c r="D87">
        <v>0</v>
      </c>
      <c r="E87">
        <v>4</v>
      </c>
      <c r="F87">
        <v>0.9</v>
      </c>
    </row>
    <row r="88" spans="4:6">
      <c r="D88">
        <v>0</v>
      </c>
      <c r="E88">
        <v>4</v>
      </c>
      <c r="F88">
        <v>1</v>
      </c>
    </row>
    <row r="89" spans="4:6">
      <c r="D89">
        <v>0</v>
      </c>
      <c r="E89">
        <v>11</v>
      </c>
      <c r="F89">
        <v>0.9</v>
      </c>
    </row>
    <row r="90" spans="4:6">
      <c r="D90">
        <v>0</v>
      </c>
      <c r="E90">
        <v>11</v>
      </c>
      <c r="F90">
        <v>1</v>
      </c>
    </row>
    <row r="91" spans="4:6">
      <c r="D91">
        <v>55</v>
      </c>
      <c r="E91">
        <v>4</v>
      </c>
      <c r="F91">
        <v>0.9</v>
      </c>
    </row>
    <row r="92" spans="4:6">
      <c r="D92">
        <v>55</v>
      </c>
      <c r="E92">
        <v>4</v>
      </c>
      <c r="F92">
        <v>1</v>
      </c>
    </row>
    <row r="93" spans="4:6">
      <c r="D93">
        <v>55</v>
      </c>
      <c r="E93">
        <v>11</v>
      </c>
      <c r="F93">
        <v>0.9</v>
      </c>
    </row>
    <row r="94" spans="4:6">
      <c r="D94">
        <v>55</v>
      </c>
      <c r="E94">
        <v>11</v>
      </c>
      <c r="F94">
        <v>1</v>
      </c>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O92"/>
  <sheetViews>
    <sheetView workbookViewId="0">
      <selection activeCell="E28" sqref="E28"/>
    </sheetView>
  </sheetViews>
  <sheetFormatPr defaultColWidth="8.875" defaultRowHeight="12.75"/>
  <cols>
    <col min="1" max="1" width="8.375" style="2" customWidth="1"/>
    <col min="2" max="2" width="12.5" style="2" customWidth="1"/>
    <col min="3" max="3" width="8.875" style="2" customWidth="1"/>
    <col min="4" max="4" width="7.25" style="2" customWidth="1"/>
    <col min="5" max="5" width="6.875" style="2" customWidth="1"/>
    <col min="6" max="6" width="5.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Orgs!B8</f>
        <v>Clostridium botulinum (non.prot)</v>
      </c>
    </row>
    <row r="2" spans="1:15" s="24" customFormat="1" ht="14.25">
      <c r="A2" s="26"/>
      <c r="B2" s="27"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0">
        <v>3</v>
      </c>
      <c r="C3" s="75">
        <f>EXP(-7)</f>
        <v>9.1188196555451624E-4</v>
      </c>
      <c r="D3" s="30">
        <v>20</v>
      </c>
      <c r="E3" s="30">
        <v>7</v>
      </c>
      <c r="F3" s="32" t="s">
        <v>201</v>
      </c>
      <c r="G3" s="30">
        <v>0.5</v>
      </c>
      <c r="H3" s="30"/>
      <c r="I3" s="30"/>
      <c r="J3" s="30"/>
      <c r="K3" s="30"/>
      <c r="L3" s="30"/>
      <c r="M3" s="30"/>
      <c r="N3" s="30"/>
      <c r="O3" s="33"/>
    </row>
    <row r="4" spans="1:15">
      <c r="A4" s="29" t="s">
        <v>202</v>
      </c>
      <c r="B4" s="30"/>
      <c r="C4" s="34"/>
      <c r="D4" s="30">
        <v>14</v>
      </c>
      <c r="E4" s="30">
        <v>4.7</v>
      </c>
      <c r="F4" s="30"/>
      <c r="G4" s="30">
        <v>0</v>
      </c>
      <c r="H4" s="30"/>
      <c r="I4" s="30"/>
      <c r="J4" s="30"/>
      <c r="K4" s="30"/>
      <c r="L4" s="30"/>
      <c r="M4" s="30"/>
      <c r="N4" s="30"/>
      <c r="O4" s="33"/>
    </row>
    <row r="5" spans="1:15" ht="13.5" thickBot="1">
      <c r="A5" s="35" t="s">
        <v>203</v>
      </c>
      <c r="B5" s="36"/>
      <c r="C5" s="37"/>
      <c r="D5" s="36">
        <v>40</v>
      </c>
      <c r="E5" s="36">
        <v>7.2</v>
      </c>
      <c r="F5" s="36"/>
      <c r="G5" s="36">
        <v>7.5</v>
      </c>
      <c r="H5" s="36"/>
      <c r="I5" s="36"/>
      <c r="J5" s="36"/>
      <c r="K5" s="36"/>
      <c r="L5" s="36"/>
      <c r="M5" s="36"/>
      <c r="N5" s="36"/>
      <c r="O5" s="38"/>
    </row>
    <row r="6" spans="1:15" ht="13.5" thickBot="1">
      <c r="A6"/>
      <c r="C6" s="25"/>
    </row>
    <row r="7" spans="1:15">
      <c r="A7" s="39"/>
      <c r="B7" s="27"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c r="B8" s="41">
        <v>31010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c r="A9" s="2" t="s">
        <v>212</v>
      </c>
      <c r="D9" s="2">
        <v>3</v>
      </c>
      <c r="E9" s="2">
        <v>0.8</v>
      </c>
      <c r="F9" s="2">
        <v>0.01</v>
      </c>
    </row>
    <row r="10" spans="1:15" ht="14.25">
      <c r="A10" s="39"/>
      <c r="B10" s="53" t="s">
        <v>213</v>
      </c>
      <c r="C10" s="27"/>
      <c r="D10" s="27"/>
      <c r="E10" s="43"/>
      <c r="F10" s="43"/>
      <c r="G10" s="44"/>
      <c r="H10" s="56" t="s">
        <v>214</v>
      </c>
      <c r="I10" s="45"/>
    </row>
    <row r="11" spans="1:15">
      <c r="A11" s="29" t="s">
        <v>215</v>
      </c>
      <c r="B11" s="32">
        <v>0.27400000000000002</v>
      </c>
      <c r="C11" s="46"/>
      <c r="D11" s="30"/>
      <c r="E11" s="30"/>
      <c r="F11" s="30"/>
      <c r="G11" s="47"/>
      <c r="H11" s="30"/>
      <c r="I11" s="33"/>
    </row>
    <row r="12" spans="1:15" ht="13.5" thickBot="1">
      <c r="A12" s="35" t="s">
        <v>216</v>
      </c>
      <c r="B12" s="48" t="str">
        <f>" =EXP("&amp;B14&amp;"*("&amp;C14&amp;")+"&amp;B15&amp;"*("&amp;C15&amp;")+"&amp;B16&amp;"*("&amp;C16&amp;")+"&amp;B17&amp;"*("&amp;C17&amp;")+"&amp;B18&amp;"*("&amp;C18&amp;")+"&amp;B19&amp;"*("&amp;C19&amp;")+"&amp;B20&amp;"*("&amp;C20&amp;")+"&amp;B21&amp;"*("&amp;C21&amp;")+"&amp;B22&amp;"*("&amp;C22&amp;")+"&amp;B23&amp;"*("&amp;C23&amp;"))"</f>
        <v xml:space="preserve"> =EXP(1*(-15.31)+tr*(0.2794)+pr*(2.559)+bw*(12.08)+tr*pr*(0.01966)+tr*bw*(-0.06888)+pr*bw*(1.52)+tr^2*(-0.005629)+pr^2*(-0.2213)+bw^2*(-162.7))</v>
      </c>
      <c r="C12" s="49"/>
      <c r="D12" s="50"/>
      <c r="E12" s="49"/>
      <c r="F12" s="50"/>
      <c r="G12" s="51"/>
      <c r="H12" s="36">
        <f>18/2.3</f>
        <v>7.8260869565217401</v>
      </c>
      <c r="I12" s="38"/>
    </row>
    <row r="14" spans="1:15">
      <c r="A14" s="1">
        <v>1</v>
      </c>
      <c r="B14" s="24">
        <v>1</v>
      </c>
      <c r="C14" s="2">
        <v>-15.31</v>
      </c>
      <c r="D14"/>
      <c r="E14" s="4"/>
    </row>
    <row r="15" spans="1:15">
      <c r="A15" s="1">
        <v>20</v>
      </c>
      <c r="B15" s="24" t="s">
        <v>45</v>
      </c>
      <c r="C15" s="2">
        <v>0.27939999999999998</v>
      </c>
      <c r="E15" s="4"/>
    </row>
    <row r="16" spans="1:15">
      <c r="A16" s="1">
        <v>7</v>
      </c>
      <c r="B16" s="24" t="s">
        <v>46</v>
      </c>
      <c r="C16" s="2">
        <v>2.5590000000000002</v>
      </c>
    </row>
    <row r="17" spans="1:6">
      <c r="A17" s="1">
        <v>0.5</v>
      </c>
      <c r="B17" s="24" t="s">
        <v>47</v>
      </c>
      <c r="C17" s="2">
        <v>12.08</v>
      </c>
    </row>
    <row r="18" spans="1:6">
      <c r="A18" s="1">
        <f>A$15*A$16</f>
        <v>140</v>
      </c>
      <c r="B18" s="24" t="s">
        <v>222</v>
      </c>
      <c r="C18" s="2">
        <v>1.966E-2</v>
      </c>
    </row>
    <row r="19" spans="1:6">
      <c r="A19" s="1">
        <f>A$15*A$17</f>
        <v>10</v>
      </c>
      <c r="B19" s="24" t="s">
        <v>225</v>
      </c>
      <c r="C19" s="2">
        <v>-6.8879999999999997E-2</v>
      </c>
    </row>
    <row r="20" spans="1:6">
      <c r="A20" s="1">
        <f>A$16*A$17</f>
        <v>3.5</v>
      </c>
      <c r="B20" s="24" t="s">
        <v>227</v>
      </c>
      <c r="C20" s="2">
        <v>1.52</v>
      </c>
    </row>
    <row r="21" spans="1:6">
      <c r="A21" s="1">
        <f>A$15^2</f>
        <v>400</v>
      </c>
      <c r="B21" s="24" t="s">
        <v>229</v>
      </c>
      <c r="C21" s="2">
        <v>-5.6290000000000003E-3</v>
      </c>
    </row>
    <row r="22" spans="1:6">
      <c r="A22" s="1">
        <f>A$16^2</f>
        <v>49</v>
      </c>
      <c r="B22" s="24" t="s">
        <v>231</v>
      </c>
      <c r="C22" s="2">
        <v>-0.2213</v>
      </c>
    </row>
    <row r="23" spans="1:6">
      <c r="A23" s="1">
        <f>A$17^2</f>
        <v>0.25</v>
      </c>
      <c r="B23" s="24" t="s">
        <v>233</v>
      </c>
      <c r="C23" s="2">
        <v>-162.69999999999999</v>
      </c>
    </row>
    <row r="24" spans="1:6">
      <c r="A24" s="1"/>
      <c r="B24" s="24"/>
    </row>
    <row r="30" spans="1:6">
      <c r="D30" s="124" t="s">
        <v>234</v>
      </c>
    </row>
    <row r="31" spans="1:6">
      <c r="D31">
        <v>14</v>
      </c>
      <c r="E31">
        <v>6</v>
      </c>
      <c r="F31">
        <v>0.999</v>
      </c>
    </row>
    <row r="32" spans="1:6">
      <c r="D32">
        <v>14</v>
      </c>
      <c r="E32">
        <v>6.7</v>
      </c>
      <c r="F32">
        <v>0.999</v>
      </c>
    </row>
    <row r="33" spans="4:6">
      <c r="D33">
        <v>14</v>
      </c>
      <c r="E33">
        <v>6.9</v>
      </c>
      <c r="F33">
        <v>0.999</v>
      </c>
    </row>
    <row r="34" spans="4:6">
      <c r="D34">
        <v>14</v>
      </c>
      <c r="E34">
        <v>5.5</v>
      </c>
      <c r="F34">
        <v>0.99199999999999999</v>
      </c>
    </row>
    <row r="35" spans="4:6">
      <c r="D35">
        <v>14</v>
      </c>
      <c r="E35">
        <v>6</v>
      </c>
      <c r="F35">
        <v>0.98599999999999999</v>
      </c>
    </row>
    <row r="36" spans="4:6">
      <c r="D36">
        <v>14</v>
      </c>
      <c r="E36">
        <v>7</v>
      </c>
      <c r="F36">
        <v>0.98599999999999999</v>
      </c>
    </row>
    <row r="37" spans="4:6">
      <c r="D37">
        <v>14</v>
      </c>
      <c r="E37">
        <v>7</v>
      </c>
      <c r="F37">
        <v>0.98</v>
      </c>
    </row>
    <row r="38" spans="4:6">
      <c r="D38">
        <v>20</v>
      </c>
      <c r="E38">
        <v>5.0999999999999996</v>
      </c>
      <c r="F38">
        <v>0.999</v>
      </c>
    </row>
    <row r="39" spans="4:6">
      <c r="D39">
        <v>20</v>
      </c>
      <c r="E39">
        <v>5.5</v>
      </c>
      <c r="F39">
        <v>0.98</v>
      </c>
    </row>
    <row r="40" spans="4:6">
      <c r="D40">
        <v>25</v>
      </c>
      <c r="E40">
        <v>4.7</v>
      </c>
      <c r="F40">
        <v>0.999</v>
      </c>
    </row>
    <row r="41" spans="4:6">
      <c r="D41">
        <v>25</v>
      </c>
      <c r="E41">
        <v>7.2</v>
      </c>
      <c r="F41">
        <v>0.999</v>
      </c>
    </row>
    <row r="42" spans="4:6">
      <c r="D42">
        <v>25</v>
      </c>
      <c r="E42">
        <v>4.8</v>
      </c>
      <c r="F42">
        <v>0.99199999999999999</v>
      </c>
    </row>
    <row r="43" spans="4:6">
      <c r="D43">
        <v>25</v>
      </c>
      <c r="E43">
        <v>5.0999999999999996</v>
      </c>
      <c r="F43">
        <v>0.98</v>
      </c>
    </row>
    <row r="44" spans="4:6">
      <c r="D44">
        <v>25</v>
      </c>
      <c r="E44">
        <v>5.6</v>
      </c>
      <c r="F44">
        <v>0.96700000000000008</v>
      </c>
    </row>
    <row r="45" spans="4:6">
      <c r="D45">
        <v>30</v>
      </c>
      <c r="E45">
        <v>7.2</v>
      </c>
      <c r="F45">
        <v>0.999</v>
      </c>
    </row>
    <row r="46" spans="4:6">
      <c r="D46">
        <v>30</v>
      </c>
      <c r="E46">
        <v>4.8</v>
      </c>
      <c r="F46">
        <v>0.99199999999999999</v>
      </c>
    </row>
    <row r="47" spans="4:6">
      <c r="D47">
        <v>30</v>
      </c>
      <c r="E47">
        <v>7</v>
      </c>
      <c r="F47">
        <v>0.96700000000000008</v>
      </c>
    </row>
    <row r="48" spans="4:6">
      <c r="D48">
        <v>30</v>
      </c>
      <c r="E48">
        <v>5.7</v>
      </c>
      <c r="F48">
        <v>0.96099999999999997</v>
      </c>
    </row>
    <row r="49" spans="4:10">
      <c r="D49">
        <v>35</v>
      </c>
      <c r="E49">
        <v>5.3</v>
      </c>
      <c r="F49">
        <v>0.999</v>
      </c>
    </row>
    <row r="50" spans="4:10">
      <c r="D50">
        <v>35</v>
      </c>
      <c r="E50">
        <v>5.0999999999999996</v>
      </c>
      <c r="F50">
        <v>0.98</v>
      </c>
    </row>
    <row r="51" spans="4:10">
      <c r="D51">
        <v>35</v>
      </c>
      <c r="E51">
        <v>6.9</v>
      </c>
      <c r="F51">
        <v>0.95400000000000007</v>
      </c>
    </row>
    <row r="52" spans="4:10">
      <c r="D52">
        <v>40</v>
      </c>
      <c r="E52">
        <v>5.8</v>
      </c>
      <c r="F52">
        <v>0.98</v>
      </c>
    </row>
    <row r="53" spans="4:10">
      <c r="D53">
        <v>40</v>
      </c>
      <c r="E53">
        <v>5.3</v>
      </c>
      <c r="F53">
        <v>0.97400000000000009</v>
      </c>
    </row>
    <row r="54" spans="4:10">
      <c r="D54">
        <v>40</v>
      </c>
      <c r="E54">
        <v>7</v>
      </c>
      <c r="F54">
        <v>0.96700000000000008</v>
      </c>
    </row>
    <row r="55" spans="4:10">
      <c r="D55">
        <v>30</v>
      </c>
      <c r="E55">
        <v>6.9</v>
      </c>
      <c r="F55">
        <v>0.95400000000000007</v>
      </c>
    </row>
    <row r="57" spans="4:10">
      <c r="D57" s="2" t="s">
        <v>235</v>
      </c>
    </row>
    <row r="58" spans="4:10">
      <c r="D58">
        <v>14</v>
      </c>
      <c r="E58">
        <v>5.5</v>
      </c>
      <c r="F58">
        <v>0.999</v>
      </c>
      <c r="H58"/>
      <c r="I58"/>
      <c r="J58"/>
    </row>
    <row r="59" spans="4:10">
      <c r="D59">
        <v>14</v>
      </c>
      <c r="E59">
        <v>7</v>
      </c>
      <c r="F59">
        <v>0.999</v>
      </c>
      <c r="H59"/>
      <c r="I59"/>
      <c r="J59"/>
    </row>
    <row r="60" spans="4:10">
      <c r="D60">
        <v>37</v>
      </c>
      <c r="E60">
        <v>4.7</v>
      </c>
      <c r="F60">
        <v>0.999</v>
      </c>
      <c r="H60"/>
      <c r="I60"/>
      <c r="J60"/>
    </row>
    <row r="61" spans="4:10">
      <c r="D61">
        <v>30</v>
      </c>
      <c r="E61">
        <v>7</v>
      </c>
      <c r="F61">
        <v>0.95400000000000007</v>
      </c>
      <c r="H61"/>
      <c r="I61"/>
      <c r="J61"/>
    </row>
    <row r="62" spans="4:10">
      <c r="D62">
        <v>37</v>
      </c>
      <c r="E62">
        <v>7</v>
      </c>
      <c r="F62">
        <v>0.95400000000000007</v>
      </c>
      <c r="H62"/>
      <c r="I62"/>
      <c r="J62"/>
    </row>
    <row r="63" spans="4:10">
      <c r="D63">
        <v>40</v>
      </c>
      <c r="E63">
        <v>7</v>
      </c>
      <c r="F63">
        <v>0.96700000000000008</v>
      </c>
      <c r="H63"/>
      <c r="I63"/>
      <c r="J63"/>
    </row>
    <row r="64" spans="4:10">
      <c r="D64">
        <v>16</v>
      </c>
      <c r="E64">
        <v>4.5999999999999996</v>
      </c>
      <c r="F64">
        <v>0.99199999999999999</v>
      </c>
      <c r="H64"/>
      <c r="I64"/>
      <c r="J64"/>
    </row>
    <row r="65" spans="4:10">
      <c r="D65">
        <v>30</v>
      </c>
      <c r="E65">
        <v>4.7</v>
      </c>
      <c r="F65">
        <v>0.98599999999999999</v>
      </c>
      <c r="H65"/>
      <c r="I65"/>
      <c r="J65"/>
    </row>
    <row r="66" spans="4:10">
      <c r="D66">
        <v>12</v>
      </c>
      <c r="E66">
        <v>4.7</v>
      </c>
      <c r="F66">
        <v>0.96699999999999997</v>
      </c>
      <c r="H66"/>
      <c r="I66"/>
      <c r="J66"/>
    </row>
    <row r="67" spans="4:10">
      <c r="D67">
        <v>12</v>
      </c>
      <c r="E67">
        <v>5</v>
      </c>
      <c r="F67">
        <v>0.98599999999999999</v>
      </c>
      <c r="H67"/>
      <c r="I67"/>
      <c r="J67"/>
    </row>
    <row r="68" spans="4:10">
      <c r="D68">
        <v>12</v>
      </c>
      <c r="E68">
        <v>5.4</v>
      </c>
      <c r="F68">
        <v>0.93899999999999995</v>
      </c>
      <c r="H68"/>
      <c r="I68"/>
      <c r="J68"/>
    </row>
    <row r="69" spans="4:10">
      <c r="D69">
        <v>20</v>
      </c>
      <c r="E69">
        <v>5.4</v>
      </c>
      <c r="F69">
        <v>0.93899999999999995</v>
      </c>
      <c r="H69"/>
      <c r="I69"/>
      <c r="J69"/>
    </row>
    <row r="70" spans="4:10">
      <c r="D70">
        <v>40</v>
      </c>
      <c r="E70">
        <v>5.7</v>
      </c>
      <c r="F70">
        <v>0.96099999999999997</v>
      </c>
      <c r="H70"/>
      <c r="I70"/>
      <c r="J70"/>
    </row>
    <row r="71" spans="4:10">
      <c r="D71">
        <v>40</v>
      </c>
      <c r="E71">
        <v>6</v>
      </c>
      <c r="F71">
        <v>0.95399999999999996</v>
      </c>
      <c r="H71"/>
      <c r="I71"/>
      <c r="J71"/>
    </row>
    <row r="72" spans="4:10">
      <c r="D72">
        <v>25</v>
      </c>
      <c r="E72">
        <v>6.9</v>
      </c>
      <c r="F72">
        <v>0.95399999999999996</v>
      </c>
      <c r="H72"/>
      <c r="I72"/>
      <c r="J72"/>
    </row>
    <row r="73" spans="4:10">
      <c r="D73">
        <v>20</v>
      </c>
      <c r="E73">
        <v>4.5999999999999996</v>
      </c>
      <c r="F73">
        <v>0.99199999999999999</v>
      </c>
      <c r="H73"/>
      <c r="I73"/>
      <c r="J73"/>
    </row>
    <row r="74" spans="4:10">
      <c r="D74">
        <v>16</v>
      </c>
      <c r="E74">
        <v>5</v>
      </c>
      <c r="F74">
        <v>0.999</v>
      </c>
      <c r="H74"/>
      <c r="I74"/>
      <c r="J74"/>
    </row>
    <row r="75" spans="4:10">
      <c r="D75">
        <v>40</v>
      </c>
      <c r="E75">
        <v>5.3</v>
      </c>
      <c r="F75">
        <v>0.999</v>
      </c>
      <c r="H75"/>
      <c r="I75"/>
      <c r="J75"/>
    </row>
    <row r="76" spans="4:10">
      <c r="D76">
        <v>40</v>
      </c>
      <c r="E76">
        <v>7.2</v>
      </c>
      <c r="F76">
        <v>0.999</v>
      </c>
      <c r="H76"/>
      <c r="I76"/>
      <c r="J76"/>
    </row>
    <row r="77" spans="4:10">
      <c r="D77">
        <v>40</v>
      </c>
      <c r="E77">
        <v>5.2</v>
      </c>
      <c r="F77">
        <v>0.99199999999999999</v>
      </c>
      <c r="H77"/>
      <c r="I77"/>
      <c r="J77"/>
    </row>
    <row r="78" spans="4:10">
      <c r="D78">
        <v>14</v>
      </c>
      <c r="E78">
        <v>7</v>
      </c>
      <c r="F78">
        <v>0.98</v>
      </c>
      <c r="H78"/>
      <c r="I78"/>
      <c r="J78"/>
    </row>
    <row r="79" spans="4:10">
      <c r="D79">
        <v>25</v>
      </c>
      <c r="E79">
        <v>4.7</v>
      </c>
      <c r="F79">
        <v>0.999</v>
      </c>
      <c r="H79"/>
      <c r="I79"/>
      <c r="J79"/>
    </row>
    <row r="80" spans="4:10">
      <c r="D80">
        <v>25</v>
      </c>
      <c r="E80">
        <v>7.2</v>
      </c>
      <c r="F80">
        <v>0.999</v>
      </c>
      <c r="H80"/>
      <c r="I80"/>
      <c r="J80"/>
    </row>
    <row r="81" spans="4:10">
      <c r="D81">
        <v>40</v>
      </c>
      <c r="E81">
        <v>5.3</v>
      </c>
      <c r="F81">
        <v>0.97399999999999998</v>
      </c>
      <c r="H81"/>
      <c r="I81"/>
      <c r="J81"/>
    </row>
    <row r="83" spans="4:10">
      <c r="D83" s="2" t="s">
        <v>236</v>
      </c>
    </row>
    <row r="84" spans="4:10">
      <c r="D84">
        <v>10</v>
      </c>
      <c r="E84">
        <v>4.7</v>
      </c>
      <c r="F84">
        <v>0.96700000000000008</v>
      </c>
    </row>
    <row r="85" spans="4:10">
      <c r="D85">
        <v>10</v>
      </c>
      <c r="E85">
        <v>5.4</v>
      </c>
      <c r="F85">
        <v>0.93900000000000006</v>
      </c>
    </row>
    <row r="86" spans="4:10">
      <c r="D86">
        <v>12</v>
      </c>
      <c r="E86">
        <v>5.0999999999999996</v>
      </c>
      <c r="F86" s="132">
        <v>1</v>
      </c>
    </row>
    <row r="87" spans="4:10">
      <c r="D87">
        <v>12</v>
      </c>
      <c r="E87" s="132">
        <v>11</v>
      </c>
      <c r="F87" s="132">
        <v>1</v>
      </c>
    </row>
    <row r="88" spans="4:10">
      <c r="D88">
        <v>14</v>
      </c>
      <c r="E88">
        <v>4.5999999999999996</v>
      </c>
      <c r="F88" s="132">
        <v>1</v>
      </c>
    </row>
    <row r="89" spans="4:10">
      <c r="D89">
        <v>14</v>
      </c>
      <c r="E89" s="132">
        <v>11</v>
      </c>
      <c r="F89">
        <v>0.96700000000000008</v>
      </c>
    </row>
    <row r="90" spans="4:10">
      <c r="D90">
        <v>55</v>
      </c>
      <c r="E90">
        <v>4</v>
      </c>
      <c r="F90">
        <v>0.9</v>
      </c>
    </row>
    <row r="91" spans="4:10">
      <c r="D91">
        <v>55</v>
      </c>
      <c r="E91">
        <v>4</v>
      </c>
      <c r="F91">
        <v>1</v>
      </c>
    </row>
    <row r="92" spans="4:10">
      <c r="D92">
        <v>55</v>
      </c>
      <c r="E92">
        <v>11</v>
      </c>
      <c r="F92">
        <v>1</v>
      </c>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87"/>
  <sheetViews>
    <sheetView workbookViewId="0">
      <selection activeCell="E28" sqref="E28"/>
    </sheetView>
  </sheetViews>
  <sheetFormatPr defaultColWidth="8.875" defaultRowHeight="12.75"/>
  <cols>
    <col min="1" max="1" width="8.375" style="2" customWidth="1"/>
    <col min="2" max="2" width="12.5" style="2" customWidth="1"/>
    <col min="3" max="3" width="8.875" style="2" customWidth="1"/>
    <col min="4" max="4" width="7.25" style="2" customWidth="1"/>
    <col min="5" max="5" width="6.875" style="2" customWidth="1"/>
    <col min="6" max="6" width="5.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Orgs!B10</f>
        <v>Clostridium perfringens</v>
      </c>
    </row>
    <row r="2" spans="1:15" s="24" customFormat="1" ht="14.25">
      <c r="A2" s="26"/>
      <c r="B2" s="27"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0">
        <v>3</v>
      </c>
      <c r="C3" s="76">
        <f>EXP(-6.9)</f>
        <v>1.0077854290485105E-3</v>
      </c>
      <c r="D3" s="30">
        <v>20</v>
      </c>
      <c r="E3" s="30">
        <v>7</v>
      </c>
      <c r="F3" s="32" t="s">
        <v>201</v>
      </c>
      <c r="G3" s="30">
        <v>1</v>
      </c>
      <c r="H3" s="30"/>
      <c r="I3" s="30"/>
      <c r="J3" s="30"/>
      <c r="K3" s="30"/>
      <c r="L3" s="30"/>
      <c r="M3" s="30"/>
      <c r="N3" s="30"/>
      <c r="O3" s="33"/>
    </row>
    <row r="4" spans="1:15">
      <c r="A4" s="29" t="s">
        <v>202</v>
      </c>
      <c r="B4" s="30"/>
      <c r="C4" s="34"/>
      <c r="D4" s="30">
        <v>15</v>
      </c>
      <c r="E4" s="30">
        <v>5</v>
      </c>
      <c r="F4" s="30"/>
      <c r="G4" s="30">
        <v>0</v>
      </c>
      <c r="H4" s="30"/>
      <c r="I4" s="30"/>
      <c r="J4" s="30"/>
      <c r="K4" s="30"/>
      <c r="L4" s="30"/>
      <c r="M4" s="30"/>
      <c r="N4" s="30"/>
      <c r="O4" s="33"/>
    </row>
    <row r="5" spans="1:15" ht="13.5" thickBot="1">
      <c r="A5" s="35" t="s">
        <v>203</v>
      </c>
      <c r="B5" s="36"/>
      <c r="C5" s="37"/>
      <c r="D5" s="36">
        <v>52</v>
      </c>
      <c r="E5" s="36">
        <v>8</v>
      </c>
      <c r="F5" s="36"/>
      <c r="G5" s="36">
        <v>5</v>
      </c>
      <c r="H5" s="36"/>
      <c r="I5" s="36"/>
      <c r="J5" s="36"/>
      <c r="K5" s="36"/>
      <c r="L5" s="36"/>
      <c r="M5" s="36"/>
      <c r="N5" s="36"/>
      <c r="O5" s="38"/>
    </row>
    <row r="6" spans="1:15" ht="13.5" thickBot="1">
      <c r="A6"/>
      <c r="C6" s="25"/>
    </row>
    <row r="7" spans="1:15">
      <c r="A7" s="39"/>
      <c r="B7" s="27"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c r="B8" s="41">
        <v>31010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c r="A9" s="2" t="s">
        <v>212</v>
      </c>
      <c r="D9" s="2">
        <v>4</v>
      </c>
      <c r="E9" s="2">
        <v>0.8</v>
      </c>
      <c r="F9" s="2">
        <v>0.02</v>
      </c>
    </row>
    <row r="10" spans="1:15" ht="14.25">
      <c r="A10" s="39"/>
      <c r="B10" s="53" t="s">
        <v>213</v>
      </c>
      <c r="C10" s="27"/>
      <c r="D10" s="27"/>
      <c r="E10" s="43"/>
      <c r="F10" s="43"/>
      <c r="G10" s="44"/>
      <c r="H10" s="56" t="s">
        <v>214</v>
      </c>
      <c r="I10" s="45"/>
    </row>
    <row r="11" spans="1:15">
      <c r="A11" s="29" t="s">
        <v>215</v>
      </c>
      <c r="B11" s="32">
        <v>0.28000000000000003</v>
      </c>
      <c r="C11" s="46"/>
      <c r="D11" s="30"/>
      <c r="E11" s="30"/>
      <c r="F11" s="30"/>
      <c r="G11" s="47"/>
      <c r="H11" s="30"/>
      <c r="I11" s="33"/>
    </row>
    <row r="12" spans="1:15" ht="13.5" thickBot="1">
      <c r="A12" s="35" t="s">
        <v>216</v>
      </c>
      <c r="B12" s="48" t="str">
        <f>" =EXP("&amp;B14&amp;"*("&amp;C14&amp;")+"&amp;B15&amp;"*("&amp;C15&amp;")+"&amp;B16&amp;"*("&amp;C16&amp;")+"&amp;B17&amp;"*("&amp;C17&amp;")+"&amp;B18&amp;"*("&amp;C18&amp;")+"&amp;B19&amp;"*("&amp;C19&amp;")+"&amp;B20&amp;"*("&amp;C20&amp;")+"&amp;B21&amp;"*("&amp;C21&amp;")+"&amp;B22&amp;"*("&amp;C22&amp;")+"&amp;B23&amp;"*("&amp;C23&amp;"))"</f>
        <v xml:space="preserve"> =EXP(1*(-7.842)+tr*(0.2645)+pr*(0.5194)+bw*(7.401)+tr*pr*(0.005316)+tr*bw*(0.09096)+pr*bw*(2.645)+tr^2*(-0.003432)+pr^2*(-0.05648)+bw^2*(-153.3))</v>
      </c>
      <c r="C12" s="49"/>
      <c r="D12" s="50"/>
      <c r="E12" s="49"/>
      <c r="F12" s="50"/>
      <c r="G12" s="51"/>
      <c r="H12" s="36">
        <f>17.5/2.3</f>
        <v>7.608695652173914</v>
      </c>
      <c r="I12" s="38"/>
    </row>
    <row r="14" spans="1:15">
      <c r="A14" s="1">
        <v>1</v>
      </c>
      <c r="B14" s="24">
        <v>1</v>
      </c>
      <c r="C14" s="2">
        <v>-7.8419999999999996</v>
      </c>
      <c r="D14"/>
      <c r="E14" s="4"/>
    </row>
    <row r="15" spans="1:15">
      <c r="A15" s="1">
        <v>20</v>
      </c>
      <c r="B15" s="24" t="s">
        <v>45</v>
      </c>
      <c r="C15" s="2">
        <v>0.26450000000000001</v>
      </c>
      <c r="E15" s="4"/>
    </row>
    <row r="16" spans="1:15">
      <c r="A16" s="1">
        <v>7</v>
      </c>
      <c r="B16" s="24" t="s">
        <v>46</v>
      </c>
      <c r="C16" s="2">
        <v>0.51939999999999997</v>
      </c>
    </row>
    <row r="17" spans="1:6">
      <c r="A17" s="1">
        <v>0.5</v>
      </c>
      <c r="B17" s="24" t="s">
        <v>47</v>
      </c>
      <c r="C17" s="2">
        <v>7.4009999999999998</v>
      </c>
    </row>
    <row r="18" spans="1:6">
      <c r="A18" s="1">
        <f>A$15*A$16</f>
        <v>140</v>
      </c>
      <c r="B18" s="24" t="s">
        <v>222</v>
      </c>
      <c r="C18" s="2">
        <v>5.3160000000000004E-3</v>
      </c>
    </row>
    <row r="19" spans="1:6">
      <c r="A19" s="1">
        <f>A$15*A$17</f>
        <v>10</v>
      </c>
      <c r="B19" s="24" t="s">
        <v>225</v>
      </c>
      <c r="C19" s="2">
        <v>9.0959999999999999E-2</v>
      </c>
    </row>
    <row r="20" spans="1:6">
      <c r="A20" s="1">
        <f>A$16*A$17</f>
        <v>3.5</v>
      </c>
      <c r="B20" s="24" t="s">
        <v>227</v>
      </c>
      <c r="C20" s="2">
        <v>2.645</v>
      </c>
    </row>
    <row r="21" spans="1:6">
      <c r="A21" s="1">
        <f>A$15^2</f>
        <v>400</v>
      </c>
      <c r="B21" s="24" t="s">
        <v>229</v>
      </c>
      <c r="C21" s="2">
        <v>-3.4320000000000002E-3</v>
      </c>
    </row>
    <row r="22" spans="1:6">
      <c r="A22" s="1">
        <f>A$16^2</f>
        <v>49</v>
      </c>
      <c r="B22" s="24" t="s">
        <v>231</v>
      </c>
      <c r="C22" s="2">
        <v>-5.6480000000000002E-2</v>
      </c>
    </row>
    <row r="23" spans="1:6">
      <c r="A23" s="1">
        <f>A$17^2</f>
        <v>0.25</v>
      </c>
      <c r="B23" s="24" t="s">
        <v>233</v>
      </c>
      <c r="C23" s="2">
        <v>-153.30000000000001</v>
      </c>
    </row>
    <row r="24" spans="1:6">
      <c r="A24" s="1"/>
      <c r="B24" s="24"/>
    </row>
    <row r="25" spans="1:6">
      <c r="A25" s="1"/>
      <c r="B25" s="24"/>
    </row>
    <row r="26" spans="1:6">
      <c r="A26" s="1"/>
      <c r="B26" s="24"/>
    </row>
    <row r="27" spans="1:6">
      <c r="A27" s="1"/>
      <c r="B27" s="24"/>
    </row>
    <row r="28" spans="1:6">
      <c r="A28" s="1"/>
      <c r="B28" s="24"/>
    </row>
    <row r="30" spans="1:6">
      <c r="D30" s="124" t="s">
        <v>234</v>
      </c>
    </row>
    <row r="31" spans="1:6">
      <c r="C31"/>
      <c r="D31">
        <v>46</v>
      </c>
      <c r="E31">
        <v>8</v>
      </c>
      <c r="F31">
        <v>0.995</v>
      </c>
    </row>
    <row r="32" spans="1:6">
      <c r="C32"/>
      <c r="D32">
        <v>15</v>
      </c>
      <c r="E32">
        <v>6</v>
      </c>
      <c r="F32">
        <v>0.9890000000000001</v>
      </c>
    </row>
    <row r="33" spans="3:6">
      <c r="C33"/>
      <c r="D33">
        <v>15</v>
      </c>
      <c r="E33">
        <v>8</v>
      </c>
      <c r="F33">
        <v>0.9890000000000001</v>
      </c>
    </row>
    <row r="34" spans="3:6">
      <c r="C34"/>
      <c r="D34">
        <v>25</v>
      </c>
      <c r="E34">
        <v>5</v>
      </c>
      <c r="F34">
        <v>0.995</v>
      </c>
    </row>
    <row r="35" spans="3:6">
      <c r="C35"/>
      <c r="D35">
        <v>48</v>
      </c>
      <c r="E35">
        <v>6</v>
      </c>
      <c r="F35">
        <v>0.98299999999999998</v>
      </c>
    </row>
    <row r="36" spans="3:6">
      <c r="C36"/>
      <c r="D36">
        <v>25</v>
      </c>
      <c r="E36">
        <v>8</v>
      </c>
      <c r="F36">
        <v>0.98299999999999998</v>
      </c>
    </row>
    <row r="37" spans="3:6">
      <c r="C37"/>
      <c r="D37">
        <v>40</v>
      </c>
      <c r="E37">
        <v>5</v>
      </c>
      <c r="F37">
        <v>0.9890000000000001</v>
      </c>
    </row>
    <row r="38" spans="3:6">
      <c r="C38"/>
      <c r="D38">
        <v>25</v>
      </c>
      <c r="E38">
        <v>6</v>
      </c>
      <c r="F38">
        <v>0.97099999999999997</v>
      </c>
    </row>
    <row r="39" spans="3:6">
      <c r="C39"/>
      <c r="D39">
        <v>52</v>
      </c>
      <c r="E39">
        <v>7</v>
      </c>
      <c r="F39">
        <v>0.995</v>
      </c>
    </row>
    <row r="40" spans="3:6">
      <c r="C40"/>
      <c r="D40">
        <v>20</v>
      </c>
      <c r="E40">
        <v>8</v>
      </c>
      <c r="F40">
        <v>0.995</v>
      </c>
    </row>
    <row r="41" spans="3:6">
      <c r="C41"/>
      <c r="D41">
        <v>48</v>
      </c>
      <c r="E41">
        <v>7</v>
      </c>
      <c r="F41">
        <v>0.97699999999999998</v>
      </c>
    </row>
    <row r="42" spans="3:6">
      <c r="C42"/>
      <c r="D42">
        <v>46</v>
      </c>
      <c r="E42">
        <v>5</v>
      </c>
      <c r="F42">
        <v>0.995</v>
      </c>
    </row>
    <row r="43" spans="3:6">
      <c r="C43"/>
      <c r="D43">
        <v>45</v>
      </c>
      <c r="E43">
        <v>7</v>
      </c>
      <c r="F43">
        <v>0.998</v>
      </c>
    </row>
    <row r="44" spans="3:6">
      <c r="C44"/>
      <c r="D44">
        <v>25</v>
      </c>
      <c r="E44">
        <v>7.2</v>
      </c>
      <c r="F44">
        <v>0.999</v>
      </c>
    </row>
    <row r="45" spans="3:6">
      <c r="C45"/>
      <c r="D45">
        <v>50</v>
      </c>
      <c r="E45">
        <v>7.2</v>
      </c>
      <c r="F45">
        <v>0.999</v>
      </c>
    </row>
    <row r="46" spans="3:6">
      <c r="C46"/>
      <c r="D46">
        <v>50</v>
      </c>
      <c r="E46">
        <v>6</v>
      </c>
      <c r="F46">
        <v>0.999</v>
      </c>
    </row>
    <row r="47" spans="3:6">
      <c r="C47"/>
      <c r="D47">
        <v>22</v>
      </c>
      <c r="E47">
        <v>5.7</v>
      </c>
      <c r="F47">
        <v>0.999</v>
      </c>
    </row>
    <row r="48" spans="3:6">
      <c r="C48"/>
      <c r="D48">
        <v>15</v>
      </c>
      <c r="E48">
        <v>6</v>
      </c>
      <c r="F48">
        <v>0.98699999999999999</v>
      </c>
    </row>
    <row r="49" spans="3:10">
      <c r="C49"/>
      <c r="D49">
        <v>15</v>
      </c>
      <c r="E49">
        <v>6.3</v>
      </c>
      <c r="F49">
        <v>0.999</v>
      </c>
    </row>
    <row r="50" spans="3:10">
      <c r="C50"/>
      <c r="D50">
        <v>22</v>
      </c>
      <c r="E50">
        <v>7</v>
      </c>
      <c r="F50">
        <v>0.999</v>
      </c>
    </row>
    <row r="51" spans="3:10">
      <c r="C51"/>
      <c r="D51">
        <v>51</v>
      </c>
      <c r="E51">
        <v>6.2</v>
      </c>
      <c r="F51">
        <v>0.999</v>
      </c>
    </row>
    <row r="53" spans="3:10">
      <c r="D53" s="2" t="s">
        <v>235</v>
      </c>
    </row>
    <row r="54" spans="3:10">
      <c r="D54">
        <v>46</v>
      </c>
      <c r="E54">
        <v>8</v>
      </c>
      <c r="F54">
        <v>0.999</v>
      </c>
      <c r="H54"/>
      <c r="I54"/>
      <c r="J54"/>
    </row>
    <row r="55" spans="3:10">
      <c r="D55">
        <v>15</v>
      </c>
      <c r="E55">
        <v>8</v>
      </c>
      <c r="F55">
        <v>0.999</v>
      </c>
      <c r="H55"/>
      <c r="I55"/>
      <c r="J55"/>
    </row>
    <row r="56" spans="3:10">
      <c r="D56">
        <v>25</v>
      </c>
      <c r="E56">
        <v>5</v>
      </c>
      <c r="F56">
        <v>0.999</v>
      </c>
      <c r="H56"/>
      <c r="I56"/>
      <c r="J56"/>
    </row>
    <row r="57" spans="3:10">
      <c r="D57">
        <v>37</v>
      </c>
      <c r="E57">
        <v>8</v>
      </c>
      <c r="F57">
        <v>0.98299999999999998</v>
      </c>
      <c r="H57"/>
      <c r="I57"/>
      <c r="J57"/>
    </row>
    <row r="58" spans="3:10">
      <c r="D58">
        <v>37</v>
      </c>
      <c r="E58">
        <v>5</v>
      </c>
      <c r="F58">
        <v>0.9890000000000001</v>
      </c>
      <c r="H58"/>
      <c r="I58"/>
      <c r="J58"/>
    </row>
    <row r="59" spans="3:10">
      <c r="D59">
        <v>37</v>
      </c>
      <c r="E59">
        <v>6</v>
      </c>
      <c r="F59">
        <v>0.97099999999999997</v>
      </c>
      <c r="H59"/>
      <c r="I59"/>
      <c r="J59"/>
    </row>
    <row r="60" spans="3:10">
      <c r="D60">
        <v>25</v>
      </c>
      <c r="E60">
        <v>7</v>
      </c>
      <c r="F60">
        <v>0.97099999999999997</v>
      </c>
      <c r="H60"/>
      <c r="I60"/>
      <c r="J60"/>
    </row>
    <row r="61" spans="3:10">
      <c r="D61">
        <v>52</v>
      </c>
      <c r="E61">
        <v>7</v>
      </c>
      <c r="F61">
        <v>0.999</v>
      </c>
      <c r="H61"/>
      <c r="I61"/>
      <c r="J61"/>
    </row>
    <row r="62" spans="3:10">
      <c r="D62">
        <v>46</v>
      </c>
      <c r="E62">
        <v>5</v>
      </c>
      <c r="F62">
        <v>0.999</v>
      </c>
      <c r="H62"/>
      <c r="I62"/>
      <c r="J62"/>
    </row>
    <row r="63" spans="3:10">
      <c r="D63">
        <v>15</v>
      </c>
      <c r="E63">
        <v>6</v>
      </c>
      <c r="F63">
        <v>0.999</v>
      </c>
      <c r="H63"/>
      <c r="I63"/>
      <c r="J63"/>
    </row>
    <row r="64" spans="3:10">
      <c r="D64">
        <v>51</v>
      </c>
      <c r="E64">
        <v>6.2</v>
      </c>
      <c r="F64">
        <v>0.999</v>
      </c>
      <c r="H64"/>
      <c r="I64"/>
      <c r="J64"/>
    </row>
    <row r="65" spans="4:10">
      <c r="D65">
        <v>46</v>
      </c>
      <c r="E65">
        <v>6</v>
      </c>
      <c r="F65">
        <v>0.97699999999999998</v>
      </c>
      <c r="H65"/>
      <c r="I65"/>
      <c r="J65"/>
    </row>
    <row r="66" spans="4:10">
      <c r="D66">
        <v>12</v>
      </c>
      <c r="E66">
        <v>6</v>
      </c>
      <c r="F66">
        <v>0.98699999999999999</v>
      </c>
      <c r="H66"/>
      <c r="I66"/>
      <c r="J66"/>
    </row>
    <row r="67" spans="4:10">
      <c r="D67">
        <v>48</v>
      </c>
      <c r="E67">
        <v>7</v>
      </c>
      <c r="F67">
        <v>0.97099999999999997</v>
      </c>
      <c r="H67"/>
      <c r="I67"/>
      <c r="J67"/>
    </row>
    <row r="68" spans="4:10">
      <c r="D68">
        <v>52</v>
      </c>
      <c r="E68">
        <v>7</v>
      </c>
      <c r="F68">
        <v>0.98899999999999999</v>
      </c>
      <c r="H68"/>
      <c r="I68"/>
      <c r="J68"/>
    </row>
    <row r="69" spans="4:10">
      <c r="D69">
        <v>46</v>
      </c>
      <c r="E69">
        <v>8</v>
      </c>
      <c r="F69">
        <v>0.995</v>
      </c>
      <c r="H69"/>
      <c r="I69"/>
      <c r="J69"/>
    </row>
    <row r="70" spans="4:10">
      <c r="D70">
        <v>15</v>
      </c>
      <c r="E70">
        <v>8</v>
      </c>
      <c r="F70">
        <v>0.98899999999999999</v>
      </c>
      <c r="H70"/>
      <c r="I70"/>
      <c r="J70"/>
    </row>
    <row r="71" spans="4:10">
      <c r="D71">
        <v>25</v>
      </c>
      <c r="E71">
        <v>5</v>
      </c>
      <c r="F71">
        <v>0.995</v>
      </c>
      <c r="H71"/>
      <c r="I71"/>
      <c r="J71"/>
    </row>
    <row r="72" spans="4:10">
      <c r="D72">
        <v>48</v>
      </c>
      <c r="E72">
        <v>6</v>
      </c>
      <c r="F72">
        <v>0.98299999999999998</v>
      </c>
      <c r="H72"/>
      <c r="I72"/>
      <c r="J72"/>
    </row>
    <row r="73" spans="4:10">
      <c r="D73">
        <v>25</v>
      </c>
      <c r="E73">
        <v>8</v>
      </c>
      <c r="F73">
        <v>0.98299999999999998</v>
      </c>
      <c r="H73"/>
      <c r="I73"/>
      <c r="J73"/>
    </row>
    <row r="74" spans="4:10">
      <c r="D74">
        <v>40</v>
      </c>
      <c r="E74">
        <v>5</v>
      </c>
      <c r="F74">
        <v>0.98899999999999999</v>
      </c>
      <c r="H74"/>
      <c r="I74"/>
      <c r="J74"/>
    </row>
    <row r="75" spans="4:10">
      <c r="D75">
        <v>25</v>
      </c>
      <c r="E75">
        <v>6</v>
      </c>
      <c r="F75">
        <v>0.97099999999999997</v>
      </c>
      <c r="H75"/>
      <c r="I75"/>
      <c r="J75"/>
    </row>
    <row r="76" spans="4:10">
      <c r="D76">
        <v>46</v>
      </c>
      <c r="E76">
        <v>5</v>
      </c>
      <c r="F76">
        <v>0.995</v>
      </c>
      <c r="H76"/>
      <c r="I76"/>
      <c r="J76"/>
    </row>
    <row r="77" spans="4:10">
      <c r="D77">
        <v>45</v>
      </c>
      <c r="E77">
        <v>7</v>
      </c>
      <c r="F77">
        <v>0.998</v>
      </c>
      <c r="H77"/>
      <c r="I77"/>
      <c r="J77"/>
    </row>
    <row r="79" spans="4:10">
      <c r="D79" s="2" t="s">
        <v>236</v>
      </c>
    </row>
    <row r="80" spans="4:10">
      <c r="D80">
        <v>2</v>
      </c>
      <c r="E80">
        <v>4</v>
      </c>
      <c r="F80">
        <v>0.89</v>
      </c>
    </row>
    <row r="81" spans="4:6">
      <c r="D81">
        <v>2</v>
      </c>
      <c r="E81">
        <v>4</v>
      </c>
      <c r="F81">
        <v>1</v>
      </c>
    </row>
    <row r="82" spans="4:6">
      <c r="D82">
        <v>2</v>
      </c>
      <c r="E82">
        <v>11</v>
      </c>
      <c r="F82">
        <v>0.89</v>
      </c>
    </row>
    <row r="83" spans="4:6">
      <c r="D83">
        <v>2</v>
      </c>
      <c r="E83">
        <v>11</v>
      </c>
      <c r="F83">
        <v>1</v>
      </c>
    </row>
    <row r="84" spans="4:6">
      <c r="D84">
        <v>59</v>
      </c>
      <c r="E84">
        <v>4</v>
      </c>
      <c r="F84">
        <v>0.89</v>
      </c>
    </row>
    <row r="85" spans="4:6">
      <c r="D85">
        <v>59</v>
      </c>
      <c r="E85">
        <v>4</v>
      </c>
      <c r="F85">
        <v>1</v>
      </c>
    </row>
    <row r="86" spans="4:6">
      <c r="D86">
        <v>59</v>
      </c>
      <c r="E86">
        <v>11</v>
      </c>
      <c r="F86">
        <v>0.89</v>
      </c>
    </row>
    <row r="87" spans="4:6">
      <c r="D87">
        <v>59</v>
      </c>
      <c r="E87">
        <v>11</v>
      </c>
      <c r="F87">
        <v>1</v>
      </c>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O106"/>
  <sheetViews>
    <sheetView workbookViewId="0">
      <selection activeCell="E28" sqref="E28"/>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Orgs!B11</f>
        <v>Escheria coli 0157</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EXP(-1.6)</f>
        <v>0.20189651799465538</v>
      </c>
      <c r="D3" s="30">
        <v>20</v>
      </c>
      <c r="E3" s="30">
        <v>7</v>
      </c>
      <c r="F3" s="32" t="s">
        <v>201</v>
      </c>
      <c r="G3" s="30">
        <v>0.5</v>
      </c>
      <c r="H3" s="30"/>
      <c r="I3" s="30"/>
      <c r="J3" s="30"/>
      <c r="K3" s="30"/>
      <c r="L3" s="30"/>
      <c r="M3" s="30"/>
      <c r="N3" s="30"/>
      <c r="O3" s="33"/>
    </row>
    <row r="4" spans="1:15">
      <c r="A4" s="29" t="s">
        <v>202</v>
      </c>
      <c r="B4" s="30"/>
      <c r="C4" s="34"/>
      <c r="D4" s="30">
        <v>10</v>
      </c>
      <c r="E4" s="30">
        <v>4.5</v>
      </c>
      <c r="F4" s="30"/>
      <c r="G4" s="30">
        <v>0</v>
      </c>
      <c r="H4" s="30"/>
      <c r="I4" s="30"/>
      <c r="J4" s="30"/>
      <c r="K4" s="30"/>
      <c r="L4" s="30"/>
      <c r="M4" s="30"/>
      <c r="N4" s="30"/>
      <c r="O4" s="33"/>
    </row>
    <row r="5" spans="1:15" ht="13.5" thickBot="1">
      <c r="A5" s="35" t="s">
        <v>203</v>
      </c>
      <c r="B5" s="36"/>
      <c r="C5" s="37"/>
      <c r="D5" s="36">
        <v>30</v>
      </c>
      <c r="E5" s="36">
        <v>7</v>
      </c>
      <c r="F5" s="36"/>
      <c r="G5" s="36">
        <v>6.5</v>
      </c>
      <c r="H5" s="36"/>
      <c r="I5" s="36"/>
      <c r="J5" s="36"/>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c r="A9" s="2" t="s">
        <v>212</v>
      </c>
      <c r="D9" s="2">
        <v>3</v>
      </c>
      <c r="E9" s="2">
        <v>0.6</v>
      </c>
      <c r="F9" s="2">
        <v>1.4999999999999999E-2</v>
      </c>
    </row>
    <row r="10" spans="1:15" ht="14.25">
      <c r="A10" s="39"/>
      <c r="B10" s="53" t="s">
        <v>213</v>
      </c>
      <c r="C10" s="27"/>
      <c r="D10" s="27"/>
      <c r="E10" s="43"/>
      <c r="F10" s="43"/>
      <c r="G10" s="44"/>
      <c r="H10" s="56" t="s">
        <v>214</v>
      </c>
      <c r="I10" s="45"/>
    </row>
    <row r="11" spans="1:15">
      <c r="A11" s="29" t="s">
        <v>215</v>
      </c>
      <c r="B11" s="32">
        <v>0.26</v>
      </c>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f>
        <v xml:space="preserve"> =EXP(1*(-19.08)+tr*(0.3973)+pr*(4.41)+bw*(-16.28)+tr*pr*(-0.01025)+tr*bw*(0.06738)+pr*bw*(3.748)+tr^2*(-0.004697)+pr^2*(-0.3599)+bw^2*(-78.56))</v>
      </c>
      <c r="C12" s="49"/>
      <c r="D12" s="50"/>
      <c r="E12" s="49"/>
      <c r="F12" s="50"/>
      <c r="G12" s="51"/>
      <c r="H12" s="36">
        <v>8.1999999999999993</v>
      </c>
      <c r="I12" s="38"/>
    </row>
    <row r="13" spans="1:15" ht="13.5" thickBot="1"/>
    <row r="14" spans="1:15">
      <c r="A14" s="1">
        <v>1</v>
      </c>
      <c r="B14" s="24">
        <v>1</v>
      </c>
      <c r="C14" s="2">
        <v>-19.079999999999998</v>
      </c>
      <c r="F14" s="194"/>
      <c r="G14" s="195"/>
      <c r="H14" s="195"/>
      <c r="I14" s="195"/>
      <c r="J14" s="195"/>
      <c r="K14" s="195"/>
      <c r="L14" s="195"/>
      <c r="M14" s="195"/>
      <c r="N14" s="195"/>
      <c r="O14" s="196"/>
    </row>
    <row r="15" spans="1:15">
      <c r="A15" s="1">
        <v>20</v>
      </c>
      <c r="B15" s="24" t="s">
        <v>45</v>
      </c>
      <c r="C15" s="2">
        <v>0.39729999999999999</v>
      </c>
      <c r="F15" s="197" t="s">
        <v>202</v>
      </c>
      <c r="G15" s="30" t="s">
        <v>203</v>
      </c>
      <c r="H15" s="30"/>
      <c r="I15" s="30"/>
      <c r="J15" s="30"/>
      <c r="K15" s="30"/>
      <c r="L15" s="198" t="s">
        <v>217</v>
      </c>
      <c r="M15" s="30">
        <v>-7.8689</v>
      </c>
      <c r="N15" s="30"/>
      <c r="O15" s="33"/>
    </row>
    <row r="16" spans="1:15">
      <c r="A16" s="1">
        <v>7</v>
      </c>
      <c r="B16" s="24" t="s">
        <v>46</v>
      </c>
      <c r="C16" s="2">
        <v>4.41</v>
      </c>
      <c r="F16" s="197">
        <v>5</v>
      </c>
      <c r="G16" s="30">
        <v>37</v>
      </c>
      <c r="H16" s="30"/>
      <c r="I16" s="198" t="s">
        <v>218</v>
      </c>
      <c r="J16" s="30">
        <v>4</v>
      </c>
      <c r="K16" s="30"/>
      <c r="L16" s="30" t="s">
        <v>219</v>
      </c>
      <c r="M16" s="30">
        <v>21.291499999999999</v>
      </c>
      <c r="N16" s="30"/>
      <c r="O16" s="33"/>
    </row>
    <row r="17" spans="1:15">
      <c r="A17" s="1">
        <v>0.5</v>
      </c>
      <c r="B17" s="24" t="s">
        <v>47</v>
      </c>
      <c r="C17" s="2">
        <v>-16.28</v>
      </c>
      <c r="F17" s="197">
        <v>4</v>
      </c>
      <c r="G17" s="30">
        <v>7.5</v>
      </c>
      <c r="H17" s="30"/>
      <c r="I17" s="198" t="s">
        <v>220</v>
      </c>
      <c r="J17" s="30">
        <v>3.9</v>
      </c>
      <c r="K17" s="30"/>
      <c r="L17" s="30" t="s">
        <v>221</v>
      </c>
      <c r="M17" s="30">
        <v>28.792100000000001</v>
      </c>
      <c r="N17" s="30"/>
      <c r="O17" s="33"/>
    </row>
    <row r="18" spans="1:15">
      <c r="A18" s="1">
        <f>A$15*A$16</f>
        <v>140</v>
      </c>
      <c r="B18" s="24" t="s">
        <v>222</v>
      </c>
      <c r="C18" s="2">
        <v>-1.025E-2</v>
      </c>
      <c r="F18" s="197">
        <v>0.95399999999999996</v>
      </c>
      <c r="G18" s="30">
        <v>1</v>
      </c>
      <c r="H18" s="30"/>
      <c r="I18" s="198" t="s">
        <v>223</v>
      </c>
      <c r="J18" s="30">
        <v>0.95099999999999996</v>
      </c>
      <c r="K18" s="30"/>
      <c r="L18" s="30" t="s">
        <v>224</v>
      </c>
      <c r="M18" s="30">
        <v>0</v>
      </c>
      <c r="N18" s="30"/>
      <c r="O18" s="33"/>
    </row>
    <row r="19" spans="1:15">
      <c r="A19" s="1">
        <f>A$15*A$17</f>
        <v>10</v>
      </c>
      <c r="B19" s="24" t="s">
        <v>225</v>
      </c>
      <c r="C19" s="2">
        <v>6.7379999999999995E-2</v>
      </c>
      <c r="F19" s="197"/>
      <c r="G19" s="30"/>
      <c r="H19" s="30"/>
      <c r="I19" s="30"/>
      <c r="J19" s="30"/>
      <c r="K19" s="30"/>
      <c r="L19" s="30" t="s">
        <v>226</v>
      </c>
      <c r="M19" s="30">
        <v>-18.153199999999998</v>
      </c>
      <c r="N19" s="30"/>
      <c r="O19" s="33"/>
    </row>
    <row r="20" spans="1:15">
      <c r="A20" s="1">
        <f>A$16*A$17</f>
        <v>3.5</v>
      </c>
      <c r="B20" s="24" t="s">
        <v>227</v>
      </c>
      <c r="C20" s="2">
        <v>3.7480000000000002</v>
      </c>
      <c r="F20" s="197"/>
      <c r="G20" s="30"/>
      <c r="H20" s="30"/>
      <c r="I20" s="30"/>
      <c r="J20" s="30"/>
      <c r="K20" s="30"/>
      <c r="L20" s="30" t="s">
        <v>228</v>
      </c>
      <c r="M20" s="30">
        <v>5.0831999999999997</v>
      </c>
      <c r="N20" s="30"/>
      <c r="O20" s="33"/>
    </row>
    <row r="21" spans="1:15">
      <c r="A21" s="1">
        <f>A$15^2</f>
        <v>400</v>
      </c>
      <c r="B21" s="24" t="s">
        <v>229</v>
      </c>
      <c r="C21" s="2">
        <v>-4.6969999999999998E-3</v>
      </c>
      <c r="F21" s="197"/>
      <c r="G21" s="30"/>
      <c r="H21" s="30"/>
      <c r="I21" s="30"/>
      <c r="J21" s="30"/>
      <c r="K21" s="30"/>
      <c r="L21" s="30" t="s">
        <v>230</v>
      </c>
      <c r="M21" s="30">
        <v>9.2597000000000005</v>
      </c>
      <c r="N21" s="30"/>
      <c r="O21" s="33"/>
    </row>
    <row r="22" spans="1:15" ht="13.5" thickBot="1">
      <c r="A22" s="1">
        <f>A$16^2</f>
        <v>49</v>
      </c>
      <c r="B22" s="24" t="s">
        <v>231</v>
      </c>
      <c r="C22" s="2">
        <v>-0.3599</v>
      </c>
      <c r="F22" s="199"/>
      <c r="G22" s="36"/>
      <c r="H22" s="36"/>
      <c r="I22" s="36"/>
      <c r="J22" s="36"/>
      <c r="K22" s="36"/>
      <c r="L22" s="30" t="s">
        <v>232</v>
      </c>
      <c r="M22" s="36">
        <v>-6.3871000000000002</v>
      </c>
      <c r="N22" s="36"/>
      <c r="O22" s="38"/>
    </row>
    <row r="23" spans="1:15">
      <c r="A23" s="1">
        <f>A$17^2</f>
        <v>0.25</v>
      </c>
      <c r="B23" s="24" t="s">
        <v>233</v>
      </c>
      <c r="C23" s="2">
        <v>-78.56</v>
      </c>
    </row>
    <row r="24" spans="1:15">
      <c r="A24" s="1"/>
      <c r="B24" s="24"/>
    </row>
    <row r="25" spans="1:15">
      <c r="A25" s="1"/>
      <c r="B25" s="24"/>
    </row>
    <row r="26" spans="1:15">
      <c r="A26" s="1"/>
      <c r="B26" s="24"/>
    </row>
    <row r="27" spans="1:15">
      <c r="A27" s="1"/>
      <c r="B27" s="24"/>
    </row>
    <row r="28" spans="1:15">
      <c r="A28" s="1"/>
      <c r="B28" s="24"/>
    </row>
    <row r="30" spans="1:15">
      <c r="D30" s="124" t="s">
        <v>234</v>
      </c>
    </row>
    <row r="31" spans="1:15">
      <c r="D31">
        <v>30</v>
      </c>
      <c r="E31">
        <v>4.5</v>
      </c>
      <c r="F31">
        <v>0.999</v>
      </c>
    </row>
    <row r="32" spans="1:15">
      <c r="D32">
        <v>30</v>
      </c>
      <c r="E32">
        <v>5.9</v>
      </c>
      <c r="F32">
        <v>0.96099999999999997</v>
      </c>
    </row>
    <row r="33" spans="4:6">
      <c r="D33">
        <v>25</v>
      </c>
      <c r="E33">
        <v>6.9</v>
      </c>
      <c r="F33">
        <v>0.96099999999999997</v>
      </c>
    </row>
    <row r="34" spans="4:6">
      <c r="D34">
        <v>25</v>
      </c>
      <c r="E34">
        <v>5.9</v>
      </c>
      <c r="F34">
        <v>0.96099999999999997</v>
      </c>
    </row>
    <row r="35" spans="4:6">
      <c r="D35">
        <v>20</v>
      </c>
      <c r="E35">
        <v>4.5999999999999996</v>
      </c>
      <c r="F35">
        <v>0.9890000000000001</v>
      </c>
    </row>
    <row r="36" spans="4:6">
      <c r="D36">
        <v>20</v>
      </c>
      <c r="E36">
        <v>7</v>
      </c>
      <c r="F36">
        <v>0.96099999999999997</v>
      </c>
    </row>
    <row r="37" spans="4:6">
      <c r="D37">
        <v>20</v>
      </c>
      <c r="E37">
        <v>6</v>
      </c>
      <c r="F37">
        <v>0.96099999999999997</v>
      </c>
    </row>
    <row r="38" spans="4:6">
      <c r="D38">
        <v>10</v>
      </c>
      <c r="E38">
        <v>7</v>
      </c>
      <c r="F38">
        <v>0.999</v>
      </c>
    </row>
    <row r="39" spans="4:6">
      <c r="D39">
        <v>10</v>
      </c>
      <c r="E39">
        <v>7</v>
      </c>
      <c r="F39">
        <v>0.98599999999999999</v>
      </c>
    </row>
    <row r="40" spans="4:6">
      <c r="D40">
        <v>12</v>
      </c>
      <c r="E40">
        <v>4.5</v>
      </c>
      <c r="F40">
        <v>0.999</v>
      </c>
    </row>
    <row r="41" spans="4:6">
      <c r="D41">
        <v>10</v>
      </c>
      <c r="E41">
        <v>4.7</v>
      </c>
      <c r="F41">
        <v>0.999</v>
      </c>
    </row>
    <row r="42" spans="4:6">
      <c r="D42">
        <v>10</v>
      </c>
      <c r="E42">
        <v>6.5</v>
      </c>
      <c r="F42">
        <v>0.97400000000000009</v>
      </c>
    </row>
    <row r="43" spans="4:6">
      <c r="D43">
        <v>12</v>
      </c>
      <c r="E43">
        <v>6.8</v>
      </c>
      <c r="F43">
        <v>0.97</v>
      </c>
    </row>
    <row r="44" spans="4:6">
      <c r="D44">
        <v>10</v>
      </c>
      <c r="E44">
        <v>5.9</v>
      </c>
      <c r="F44">
        <v>0.999</v>
      </c>
    </row>
    <row r="45" spans="4:6">
      <c r="D45">
        <v>28</v>
      </c>
      <c r="E45">
        <v>5.9</v>
      </c>
      <c r="F45">
        <v>0.999</v>
      </c>
    </row>
    <row r="46" spans="4:6">
      <c r="D46">
        <v>22</v>
      </c>
      <c r="E46">
        <v>5.4</v>
      </c>
      <c r="F46">
        <v>0.999</v>
      </c>
    </row>
    <row r="47" spans="4:6">
      <c r="D47">
        <v>20</v>
      </c>
      <c r="E47">
        <v>7</v>
      </c>
      <c r="F47">
        <v>0.999</v>
      </c>
    </row>
    <row r="48" spans="4:6">
      <c r="D48">
        <v>30</v>
      </c>
      <c r="E48">
        <v>7</v>
      </c>
      <c r="F48">
        <v>0.999</v>
      </c>
    </row>
    <row r="49" spans="4:11">
      <c r="D49">
        <v>30</v>
      </c>
      <c r="E49">
        <v>7</v>
      </c>
      <c r="F49">
        <v>0.97099999999999997</v>
      </c>
    </row>
    <row r="50" spans="4:11">
      <c r="D50">
        <v>10</v>
      </c>
      <c r="E50">
        <v>5</v>
      </c>
      <c r="F50">
        <v>0.98799999999999999</v>
      </c>
    </row>
    <row r="52" spans="4:11">
      <c r="D52" s="2" t="s">
        <v>235</v>
      </c>
    </row>
    <row r="53" spans="4:11">
      <c r="D53">
        <v>37</v>
      </c>
      <c r="E53">
        <v>6</v>
      </c>
      <c r="F53">
        <v>0.96099999999999997</v>
      </c>
      <c r="I53"/>
      <c r="J53"/>
      <c r="K53"/>
    </row>
    <row r="54" spans="4:11">
      <c r="D54">
        <v>12</v>
      </c>
      <c r="E54">
        <v>7</v>
      </c>
      <c r="F54">
        <v>0.97</v>
      </c>
      <c r="I54"/>
      <c r="J54"/>
      <c r="K54"/>
    </row>
    <row r="55" spans="4:11">
      <c r="D55">
        <v>7.5</v>
      </c>
      <c r="E55">
        <v>6.7</v>
      </c>
      <c r="F55">
        <v>0.98599999999999999</v>
      </c>
      <c r="I55"/>
      <c r="J55"/>
      <c r="K55"/>
    </row>
    <row r="56" spans="4:11">
      <c r="D56">
        <v>7.5</v>
      </c>
      <c r="E56">
        <v>7</v>
      </c>
      <c r="F56">
        <v>0.98599999999999999</v>
      </c>
      <c r="I56"/>
      <c r="J56"/>
      <c r="K56"/>
    </row>
    <row r="57" spans="4:11">
      <c r="D57">
        <v>7.5</v>
      </c>
      <c r="E57">
        <v>7.2</v>
      </c>
      <c r="F57">
        <v>0.999</v>
      </c>
      <c r="I57"/>
      <c r="J57"/>
      <c r="K57"/>
    </row>
    <row r="58" spans="4:11">
      <c r="D58">
        <v>8</v>
      </c>
      <c r="E58">
        <v>7</v>
      </c>
      <c r="F58">
        <v>0.97699999999999998</v>
      </c>
      <c r="I58"/>
      <c r="J58"/>
      <c r="K58"/>
    </row>
    <row r="59" spans="4:11">
      <c r="D59">
        <v>8.1999999999999993</v>
      </c>
      <c r="E59">
        <v>5.7</v>
      </c>
      <c r="F59">
        <v>0.999</v>
      </c>
      <c r="I59"/>
      <c r="J59"/>
      <c r="K59"/>
    </row>
    <row r="60" spans="4:11">
      <c r="D60">
        <v>10</v>
      </c>
      <c r="E60">
        <v>4.5999999999999996</v>
      </c>
      <c r="F60">
        <v>0.999</v>
      </c>
      <c r="I60"/>
      <c r="J60"/>
      <c r="K60"/>
    </row>
    <row r="61" spans="4:11">
      <c r="D61">
        <v>10</v>
      </c>
      <c r="E61">
        <v>4.7</v>
      </c>
      <c r="F61">
        <v>0.99199999999999999</v>
      </c>
      <c r="I61"/>
      <c r="J61"/>
      <c r="K61"/>
    </row>
    <row r="62" spans="4:11">
      <c r="D62">
        <v>10</v>
      </c>
      <c r="E62">
        <v>5.8</v>
      </c>
      <c r="F62">
        <v>0.96900000000000008</v>
      </c>
      <c r="I62"/>
      <c r="J62"/>
      <c r="K62"/>
    </row>
    <row r="63" spans="4:11">
      <c r="D63">
        <v>10</v>
      </c>
      <c r="E63">
        <v>8.4</v>
      </c>
      <c r="F63">
        <v>0.999</v>
      </c>
      <c r="I63"/>
      <c r="J63"/>
      <c r="K63"/>
    </row>
    <row r="64" spans="4:11">
      <c r="D64">
        <v>12</v>
      </c>
      <c r="E64">
        <v>4.5</v>
      </c>
      <c r="F64">
        <v>0.999</v>
      </c>
      <c r="I64"/>
      <c r="J64"/>
      <c r="K64"/>
    </row>
    <row r="65" spans="4:11">
      <c r="D65">
        <v>12</v>
      </c>
      <c r="E65">
        <v>8.5</v>
      </c>
      <c r="F65">
        <v>0.999</v>
      </c>
      <c r="I65"/>
      <c r="J65"/>
      <c r="K65"/>
    </row>
    <row r="66" spans="4:11">
      <c r="D66">
        <v>20</v>
      </c>
      <c r="E66">
        <v>6</v>
      </c>
      <c r="F66">
        <v>0.96099999999999997</v>
      </c>
      <c r="I66"/>
      <c r="J66"/>
      <c r="K66"/>
    </row>
    <row r="67" spans="4:11">
      <c r="D67">
        <v>20</v>
      </c>
      <c r="E67">
        <v>7</v>
      </c>
      <c r="F67">
        <v>0.96099999999999997</v>
      </c>
      <c r="I67"/>
      <c r="J67"/>
      <c r="K67"/>
    </row>
    <row r="68" spans="4:11">
      <c r="D68">
        <v>25</v>
      </c>
      <c r="E68">
        <v>5.5</v>
      </c>
      <c r="F68">
        <v>0.96099999999999997</v>
      </c>
      <c r="I68"/>
      <c r="J68"/>
      <c r="K68"/>
    </row>
    <row r="69" spans="4:11">
      <c r="D69">
        <v>28</v>
      </c>
      <c r="E69">
        <v>4.5</v>
      </c>
      <c r="F69">
        <v>0.97099999999999997</v>
      </c>
      <c r="I69"/>
      <c r="J69"/>
      <c r="K69"/>
    </row>
    <row r="70" spans="4:11">
      <c r="D70">
        <v>28</v>
      </c>
      <c r="E70">
        <v>6.5</v>
      </c>
      <c r="F70">
        <v>0.998</v>
      </c>
      <c r="I70"/>
      <c r="J70"/>
      <c r="K70"/>
    </row>
    <row r="71" spans="4:11">
      <c r="D71">
        <v>28</v>
      </c>
      <c r="E71">
        <v>8.5</v>
      </c>
      <c r="F71">
        <v>0.98</v>
      </c>
      <c r="I71"/>
      <c r="J71"/>
      <c r="K71"/>
    </row>
    <row r="72" spans="4:11">
      <c r="D72">
        <v>30</v>
      </c>
      <c r="E72">
        <v>6.5</v>
      </c>
      <c r="F72">
        <v>0.96</v>
      </c>
      <c r="I72"/>
      <c r="J72"/>
      <c r="K72"/>
    </row>
    <row r="73" spans="4:11">
      <c r="D73">
        <v>37</v>
      </c>
      <c r="E73">
        <v>7.3</v>
      </c>
      <c r="F73">
        <v>0.96099999999999997</v>
      </c>
      <c r="I73"/>
      <c r="J73"/>
      <c r="K73"/>
    </row>
    <row r="74" spans="4:11">
      <c r="D74">
        <v>40</v>
      </c>
      <c r="E74">
        <v>7</v>
      </c>
      <c r="F74">
        <v>0.96400000000000008</v>
      </c>
      <c r="I74"/>
      <c r="J74"/>
      <c r="K74"/>
    </row>
    <row r="75" spans="4:11">
      <c r="D75">
        <v>42</v>
      </c>
      <c r="E75">
        <v>4.5</v>
      </c>
      <c r="F75">
        <v>0.97099999999999997</v>
      </c>
      <c r="I75"/>
      <c r="J75"/>
      <c r="K75"/>
    </row>
    <row r="76" spans="4:11">
      <c r="D76">
        <v>42</v>
      </c>
      <c r="E76">
        <v>4.5</v>
      </c>
      <c r="F76">
        <v>0.999</v>
      </c>
      <c r="I76"/>
      <c r="J76"/>
      <c r="K76"/>
    </row>
    <row r="77" spans="4:11">
      <c r="D77">
        <v>42</v>
      </c>
      <c r="E77">
        <v>8.5</v>
      </c>
      <c r="F77">
        <v>0.97099999999999997</v>
      </c>
      <c r="I77"/>
      <c r="J77"/>
      <c r="K77"/>
    </row>
    <row r="78" spans="4:11">
      <c r="D78">
        <v>42</v>
      </c>
      <c r="E78">
        <v>8.5</v>
      </c>
      <c r="F78">
        <v>0.999</v>
      </c>
      <c r="I78"/>
      <c r="J78"/>
      <c r="K78"/>
    </row>
    <row r="79" spans="4:11">
      <c r="D79">
        <v>45</v>
      </c>
      <c r="E79">
        <v>7.3</v>
      </c>
      <c r="F79">
        <v>0.999</v>
      </c>
      <c r="I79"/>
      <c r="J79"/>
      <c r="K79"/>
    </row>
    <row r="80" spans="4:11">
      <c r="I80"/>
      <c r="J80"/>
      <c r="K80"/>
    </row>
    <row r="81" spans="4:6">
      <c r="D81" s="2" t="s">
        <v>236</v>
      </c>
    </row>
    <row r="82" spans="4:6">
      <c r="D82" s="2">
        <v>40</v>
      </c>
      <c r="E82" s="2">
        <v>10</v>
      </c>
      <c r="F82" s="2">
        <v>1</v>
      </c>
    </row>
    <row r="83" spans="4:6">
      <c r="D83" s="2">
        <v>0</v>
      </c>
      <c r="E83" s="2">
        <v>4</v>
      </c>
      <c r="F83" s="2">
        <v>1</v>
      </c>
    </row>
    <row r="84" spans="4:6">
      <c r="D84" s="2">
        <v>0</v>
      </c>
      <c r="E84" s="2">
        <v>11</v>
      </c>
      <c r="F84" s="2">
        <v>0.9</v>
      </c>
    </row>
    <row r="85" spans="4:6">
      <c r="D85" s="2">
        <v>0</v>
      </c>
      <c r="E85" s="2">
        <v>11</v>
      </c>
      <c r="F85" s="2">
        <v>1</v>
      </c>
    </row>
    <row r="86" spans="4:6">
      <c r="D86" s="2">
        <v>55</v>
      </c>
      <c r="E86" s="2">
        <v>4</v>
      </c>
      <c r="F86" s="2">
        <v>0.9</v>
      </c>
    </row>
    <row r="87" spans="4:6">
      <c r="D87" s="2">
        <v>55</v>
      </c>
      <c r="E87" s="2">
        <v>4</v>
      </c>
      <c r="F87" s="2">
        <v>1</v>
      </c>
    </row>
    <row r="89" spans="4:6">
      <c r="D89" s="124" t="s">
        <v>237</v>
      </c>
    </row>
    <row r="90" spans="4:6">
      <c r="D90">
        <v>5</v>
      </c>
      <c r="E90">
        <v>6.1</v>
      </c>
      <c r="F90">
        <v>0.96699999999999997</v>
      </c>
    </row>
    <row r="91" spans="4:6">
      <c r="D91">
        <v>12</v>
      </c>
      <c r="E91">
        <v>4.5</v>
      </c>
      <c r="F91">
        <v>0.96399999999999997</v>
      </c>
    </row>
    <row r="92" spans="4:6">
      <c r="D92">
        <v>10</v>
      </c>
      <c r="E92">
        <v>3.9</v>
      </c>
      <c r="F92">
        <v>0.999</v>
      </c>
    </row>
    <row r="93" spans="4:6">
      <c r="D93">
        <v>20</v>
      </c>
      <c r="E93">
        <v>4</v>
      </c>
      <c r="F93">
        <v>0.96099999999999997</v>
      </c>
    </row>
    <row r="94" spans="4:6">
      <c r="D94">
        <v>25</v>
      </c>
      <c r="E94">
        <v>3.9</v>
      </c>
      <c r="F94">
        <v>0.96099999999999997</v>
      </c>
    </row>
    <row r="95" spans="4:6">
      <c r="D95">
        <v>30</v>
      </c>
      <c r="E95">
        <v>4</v>
      </c>
      <c r="F95">
        <v>0.96099999999999997</v>
      </c>
    </row>
    <row r="96" spans="4:6">
      <c r="D96">
        <v>15</v>
      </c>
      <c r="E96">
        <v>7</v>
      </c>
      <c r="F96">
        <v>0.96099999999999997</v>
      </c>
    </row>
    <row r="97" spans="4:6">
      <c r="D97">
        <v>10</v>
      </c>
      <c r="E97">
        <v>4</v>
      </c>
      <c r="F97">
        <v>0.98599999999999999</v>
      </c>
    </row>
    <row r="98" spans="4:6">
      <c r="D98">
        <v>8.1</v>
      </c>
      <c r="E98">
        <v>7.1</v>
      </c>
      <c r="F98">
        <v>1</v>
      </c>
    </row>
    <row r="99" spans="4:6">
      <c r="D99">
        <v>10</v>
      </c>
      <c r="E99">
        <v>4.5999999999999996</v>
      </c>
      <c r="F99">
        <v>1</v>
      </c>
    </row>
    <row r="100" spans="4:6">
      <c r="D100">
        <v>37</v>
      </c>
      <c r="E100">
        <v>4</v>
      </c>
      <c r="F100">
        <v>0.999</v>
      </c>
    </row>
    <row r="101" spans="4:6">
      <c r="D101">
        <v>5</v>
      </c>
      <c r="E101">
        <v>7.2</v>
      </c>
      <c r="F101">
        <v>0.999</v>
      </c>
    </row>
    <row r="102" spans="4:6">
      <c r="D102">
        <v>37</v>
      </c>
      <c r="E102">
        <v>7.3</v>
      </c>
      <c r="F102">
        <v>0.96099999999999997</v>
      </c>
    </row>
    <row r="103" spans="4:6">
      <c r="D103">
        <v>37</v>
      </c>
      <c r="E103">
        <v>7.3</v>
      </c>
      <c r="F103">
        <v>0.999</v>
      </c>
    </row>
    <row r="104" spans="4:6">
      <c r="D104">
        <v>12</v>
      </c>
      <c r="E104">
        <v>7.5</v>
      </c>
      <c r="F104">
        <v>0.996</v>
      </c>
    </row>
    <row r="105" spans="4:6">
      <c r="D105">
        <v>37</v>
      </c>
      <c r="E105">
        <v>7.5</v>
      </c>
      <c r="F105">
        <v>0.996</v>
      </c>
    </row>
    <row r="106" spans="4:6">
      <c r="D106">
        <v>30</v>
      </c>
      <c r="E106">
        <v>4.5999999999999996</v>
      </c>
      <c r="F106">
        <v>0.999</v>
      </c>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O141"/>
  <sheetViews>
    <sheetView workbookViewId="0">
      <selection activeCell="E28" sqref="E28"/>
    </sheetView>
  </sheetViews>
  <sheetFormatPr defaultColWidth="8.875" defaultRowHeight="12.75"/>
  <cols>
    <col min="1" max="1" width="8.375" style="2" customWidth="1"/>
    <col min="2" max="2" width="11.5" style="2" customWidth="1"/>
    <col min="3" max="3" width="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Orgs!B12</f>
        <v>Escheria coli 0157 + CO_2</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EXP(-1.6)</f>
        <v>0.20189651799465538</v>
      </c>
      <c r="D3" s="30">
        <v>20</v>
      </c>
      <c r="E3" s="30">
        <v>7</v>
      </c>
      <c r="F3" s="32" t="s">
        <v>201</v>
      </c>
      <c r="G3" s="30">
        <v>0.5</v>
      </c>
      <c r="H3" s="30">
        <v>0</v>
      </c>
      <c r="I3" s="30"/>
      <c r="J3" s="30"/>
      <c r="K3" s="30"/>
      <c r="L3" s="30"/>
      <c r="M3" s="30"/>
      <c r="N3" s="30"/>
      <c r="O3" s="33"/>
    </row>
    <row r="4" spans="1:15">
      <c r="A4" s="29" t="s">
        <v>202</v>
      </c>
      <c r="B4" s="30"/>
      <c r="C4" s="34"/>
      <c r="D4" s="30">
        <v>10</v>
      </c>
      <c r="E4" s="30">
        <v>4.5</v>
      </c>
      <c r="F4" s="30"/>
      <c r="G4" s="30">
        <v>0</v>
      </c>
      <c r="H4" s="30">
        <v>0</v>
      </c>
      <c r="I4" s="30"/>
      <c r="J4" s="30"/>
      <c r="K4" s="30"/>
      <c r="L4" s="30"/>
      <c r="M4" s="30"/>
      <c r="N4" s="30"/>
      <c r="O4" s="33"/>
    </row>
    <row r="5" spans="1:15" ht="13.5" thickBot="1">
      <c r="A5" s="35" t="s">
        <v>203</v>
      </c>
      <c r="B5" s="36"/>
      <c r="C5" s="37"/>
      <c r="D5" s="36">
        <v>30</v>
      </c>
      <c r="E5" s="36">
        <v>7</v>
      </c>
      <c r="F5" s="36"/>
      <c r="G5" s="36">
        <v>6.5</v>
      </c>
      <c r="H5" s="36">
        <v>100</v>
      </c>
      <c r="I5" s="36"/>
      <c r="J5" s="36"/>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240</v>
      </c>
      <c r="I8" s="36" t="s">
        <v>211</v>
      </c>
      <c r="J8" s="36" t="s">
        <v>211</v>
      </c>
      <c r="K8" s="36" t="s">
        <v>211</v>
      </c>
      <c r="L8" s="36" t="s">
        <v>211</v>
      </c>
      <c r="M8" s="36" t="s">
        <v>211</v>
      </c>
      <c r="N8" s="36" t="s">
        <v>211</v>
      </c>
      <c r="O8" s="38" t="s">
        <v>211</v>
      </c>
    </row>
    <row r="9" spans="1:15" ht="13.5" thickBot="1">
      <c r="A9" s="2" t="s">
        <v>212</v>
      </c>
      <c r="D9" s="2">
        <v>3</v>
      </c>
      <c r="E9" s="2">
        <v>0.6</v>
      </c>
      <c r="F9" s="2">
        <v>1.4999999999999999E-2</v>
      </c>
      <c r="H9" s="2">
        <v>50</v>
      </c>
    </row>
    <row r="10" spans="1:15" ht="14.25">
      <c r="A10" s="39"/>
      <c r="B10" s="53" t="s">
        <v>213</v>
      </c>
      <c r="C10" s="27"/>
      <c r="D10" s="27"/>
      <c r="E10" s="43"/>
      <c r="F10" s="43"/>
      <c r="G10" s="44"/>
      <c r="H10" s="56" t="s">
        <v>214</v>
      </c>
      <c r="I10" s="45"/>
    </row>
    <row r="11" spans="1:15">
      <c r="A11" s="29" t="s">
        <v>215</v>
      </c>
      <c r="B11" s="32">
        <v>0.3</v>
      </c>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amp;B24&amp;"*("&amp;C24&amp;")+"&amp;B25&amp;"*("&amp;C25&amp;")+"&amp;B26&amp;"*("&amp;C26&amp;")+"&amp;B27&amp;"*("&amp;C27&amp;")+"&amp;B28&amp;"*("&amp;C28&amp;"))"</f>
        <v xml:space="preserve"> =EXP(1*(-19.08)+tr*(0.3973)+pr*(4.41)+bw*(-16.28)+tr*pr*(-0.01025)+tr*bw*(0.06738)+pr*bw*(3.748)+tr^2*(-0.004697)+pr^2*(-0.3599)+bw^2*(-78.56)+Cr*(0.002972)+tr*Cr*(0.000261)+pr*Cr*(0.0002473)+bw*Cr*(-0.05503)+Cr^2*(-0.0000962))</v>
      </c>
      <c r="C12" s="49"/>
      <c r="D12" s="50"/>
      <c r="E12" s="49"/>
      <c r="F12" s="50"/>
      <c r="G12" s="51"/>
      <c r="H12" s="36">
        <v>8.4</v>
      </c>
      <c r="I12" s="38"/>
    </row>
    <row r="14" spans="1:15">
      <c r="A14" s="1">
        <v>1</v>
      </c>
      <c r="B14" s="24">
        <v>1</v>
      </c>
      <c r="C14" s="54">
        <v>-19.079999999999998</v>
      </c>
    </row>
    <row r="15" spans="1:15">
      <c r="A15" s="1">
        <v>20</v>
      </c>
      <c r="B15" s="24" t="s">
        <v>45</v>
      </c>
      <c r="C15" s="54">
        <v>0.39729999999999999</v>
      </c>
    </row>
    <row r="16" spans="1:15">
      <c r="A16" s="1">
        <v>7</v>
      </c>
      <c r="B16" s="24" t="s">
        <v>46</v>
      </c>
      <c r="C16" s="54">
        <v>4.41</v>
      </c>
    </row>
    <row r="17" spans="1:8">
      <c r="A17" s="1">
        <v>0.5</v>
      </c>
      <c r="B17" s="24" t="s">
        <v>47</v>
      </c>
      <c r="C17" s="54">
        <v>-16.28</v>
      </c>
    </row>
    <row r="18" spans="1:8">
      <c r="A18" s="1">
        <f>A$15*A$16</f>
        <v>140</v>
      </c>
      <c r="B18" s="24" t="s">
        <v>222</v>
      </c>
      <c r="C18" s="54">
        <v>-1.025E-2</v>
      </c>
    </row>
    <row r="19" spans="1:8">
      <c r="A19" s="1">
        <f>A$15*A$17</f>
        <v>10</v>
      </c>
      <c r="B19" s="24" t="s">
        <v>225</v>
      </c>
      <c r="C19" s="54">
        <v>6.7379999999999995E-2</v>
      </c>
    </row>
    <row r="20" spans="1:8">
      <c r="A20" s="1">
        <f>A$16*A$17</f>
        <v>3.5</v>
      </c>
      <c r="B20" s="24" t="s">
        <v>227</v>
      </c>
      <c r="C20" s="54">
        <v>3.7480000000000002</v>
      </c>
    </row>
    <row r="21" spans="1:8">
      <c r="A21" s="1">
        <f>A$15^2</f>
        <v>400</v>
      </c>
      <c r="B21" s="24" t="s">
        <v>229</v>
      </c>
      <c r="C21" s="54">
        <v>-4.6969999999999998E-3</v>
      </c>
    </row>
    <row r="22" spans="1:8">
      <c r="A22" s="1">
        <f>A$16^2</f>
        <v>49</v>
      </c>
      <c r="B22" s="24" t="s">
        <v>231</v>
      </c>
      <c r="C22" s="54">
        <v>-0.3599</v>
      </c>
    </row>
    <row r="23" spans="1:8">
      <c r="A23" s="1">
        <f>A$17^2</f>
        <v>0.25</v>
      </c>
      <c r="B23" s="24" t="s">
        <v>233</v>
      </c>
      <c r="C23" s="54">
        <v>-78.56</v>
      </c>
    </row>
    <row r="24" spans="1:8">
      <c r="A24" s="1">
        <v>20</v>
      </c>
      <c r="B24" s="24" t="s">
        <v>49</v>
      </c>
      <c r="C24" s="54">
        <v>2.9719999999999998E-3</v>
      </c>
    </row>
    <row r="25" spans="1:8">
      <c r="A25" s="1">
        <f>A$15*A$24</f>
        <v>400</v>
      </c>
      <c r="B25" s="24" t="s">
        <v>241</v>
      </c>
      <c r="C25" s="54">
        <v>2.61E-4</v>
      </c>
    </row>
    <row r="26" spans="1:8">
      <c r="A26" s="1">
        <f>A$16*A$24</f>
        <v>140</v>
      </c>
      <c r="B26" s="24" t="s">
        <v>242</v>
      </c>
      <c r="C26" s="54">
        <v>2.4729999999999999E-4</v>
      </c>
    </row>
    <row r="27" spans="1:8">
      <c r="A27" s="1">
        <f>A$17*A$24</f>
        <v>10</v>
      </c>
      <c r="B27" s="24" t="s">
        <v>243</v>
      </c>
      <c r="C27" s="54">
        <v>-5.5030000000000003E-2</v>
      </c>
    </row>
    <row r="28" spans="1:8">
      <c r="A28" s="1">
        <f>A$24^2</f>
        <v>400</v>
      </c>
      <c r="B28" s="24" t="s">
        <v>244</v>
      </c>
      <c r="C28" s="54">
        <v>-9.6199999999999994E-5</v>
      </c>
    </row>
    <row r="30" spans="1:8">
      <c r="D30" s="124" t="s">
        <v>234</v>
      </c>
    </row>
    <row r="31" spans="1:8">
      <c r="D31">
        <v>30</v>
      </c>
      <c r="E31">
        <v>4.5</v>
      </c>
      <c r="F31">
        <v>0.999</v>
      </c>
      <c r="H31">
        <v>0</v>
      </c>
    </row>
    <row r="32" spans="1:8">
      <c r="D32">
        <v>30</v>
      </c>
      <c r="E32">
        <v>5.9</v>
      </c>
      <c r="F32">
        <v>0.96099999999999997</v>
      </c>
      <c r="H32">
        <v>0</v>
      </c>
    </row>
    <row r="33" spans="4:8">
      <c r="D33">
        <v>25</v>
      </c>
      <c r="E33">
        <v>6.9</v>
      </c>
      <c r="F33">
        <v>0.96099999999999997</v>
      </c>
      <c r="H33">
        <v>0</v>
      </c>
    </row>
    <row r="34" spans="4:8">
      <c r="D34">
        <v>25</v>
      </c>
      <c r="E34">
        <v>5.9</v>
      </c>
      <c r="F34">
        <v>0.96099999999999997</v>
      </c>
      <c r="H34">
        <v>0</v>
      </c>
    </row>
    <row r="35" spans="4:8">
      <c r="D35">
        <v>20</v>
      </c>
      <c r="E35">
        <v>4.5999999999999996</v>
      </c>
      <c r="F35">
        <v>0.9890000000000001</v>
      </c>
      <c r="H35">
        <v>0</v>
      </c>
    </row>
    <row r="36" spans="4:8">
      <c r="D36">
        <v>20</v>
      </c>
      <c r="E36">
        <v>7</v>
      </c>
      <c r="F36">
        <v>0.96099999999999997</v>
      </c>
      <c r="H36">
        <v>0</v>
      </c>
    </row>
    <row r="37" spans="4:8">
      <c r="D37">
        <v>20</v>
      </c>
      <c r="E37">
        <v>6</v>
      </c>
      <c r="F37">
        <v>0.96099999999999997</v>
      </c>
      <c r="H37">
        <v>0</v>
      </c>
    </row>
    <row r="38" spans="4:8">
      <c r="D38">
        <v>10</v>
      </c>
      <c r="E38">
        <v>7</v>
      </c>
      <c r="F38">
        <v>0.999</v>
      </c>
      <c r="H38">
        <v>0</v>
      </c>
    </row>
    <row r="39" spans="4:8">
      <c r="D39">
        <v>10</v>
      </c>
      <c r="E39">
        <v>7</v>
      </c>
      <c r="F39">
        <v>0.98599999999999999</v>
      </c>
      <c r="H39">
        <v>0</v>
      </c>
    </row>
    <row r="40" spans="4:8">
      <c r="D40">
        <v>12</v>
      </c>
      <c r="E40">
        <v>4.5</v>
      </c>
      <c r="F40">
        <v>0.999</v>
      </c>
      <c r="H40">
        <v>0</v>
      </c>
    </row>
    <row r="41" spans="4:8">
      <c r="D41">
        <v>10</v>
      </c>
      <c r="E41">
        <v>4.7</v>
      </c>
      <c r="F41">
        <v>0.999</v>
      </c>
      <c r="H41">
        <v>0</v>
      </c>
    </row>
    <row r="42" spans="4:8">
      <c r="D42">
        <v>10</v>
      </c>
      <c r="E42">
        <v>6.5</v>
      </c>
      <c r="F42">
        <v>0.97400000000000009</v>
      </c>
      <c r="H42">
        <v>0</v>
      </c>
    </row>
    <row r="43" spans="4:8">
      <c r="D43">
        <v>25</v>
      </c>
      <c r="E43">
        <v>5.8</v>
      </c>
      <c r="F43">
        <v>0.97400000000000009</v>
      </c>
      <c r="H43">
        <v>80</v>
      </c>
    </row>
    <row r="44" spans="4:8">
      <c r="D44">
        <v>10</v>
      </c>
      <c r="E44">
        <v>7</v>
      </c>
      <c r="F44">
        <v>0.999</v>
      </c>
      <c r="H44">
        <v>60</v>
      </c>
    </row>
    <row r="45" spans="4:8">
      <c r="D45">
        <v>20</v>
      </c>
      <c r="E45">
        <v>5.6</v>
      </c>
      <c r="F45">
        <v>0.9890000000000001</v>
      </c>
      <c r="H45">
        <v>100</v>
      </c>
    </row>
    <row r="46" spans="4:8">
      <c r="D46">
        <v>30</v>
      </c>
      <c r="E46">
        <v>6</v>
      </c>
      <c r="F46">
        <v>0.96099999999999997</v>
      </c>
      <c r="H46">
        <v>10</v>
      </c>
    </row>
    <row r="47" spans="4:8">
      <c r="D47">
        <v>20</v>
      </c>
      <c r="E47">
        <v>4.5</v>
      </c>
      <c r="F47">
        <v>0.999</v>
      </c>
      <c r="H47">
        <v>60</v>
      </c>
    </row>
    <row r="48" spans="4:8">
      <c r="D48">
        <v>20</v>
      </c>
      <c r="E48">
        <v>7</v>
      </c>
      <c r="F48">
        <v>0.999</v>
      </c>
      <c r="H48">
        <v>100</v>
      </c>
    </row>
    <row r="49" spans="4:8">
      <c r="D49">
        <v>10</v>
      </c>
      <c r="E49">
        <v>6</v>
      </c>
      <c r="F49">
        <v>0.98599999999999999</v>
      </c>
      <c r="H49">
        <v>60</v>
      </c>
    </row>
    <row r="50" spans="4:8">
      <c r="D50">
        <v>20</v>
      </c>
      <c r="E50">
        <v>4.5999999999999996</v>
      </c>
      <c r="F50">
        <v>0.999</v>
      </c>
      <c r="H50">
        <v>100</v>
      </c>
    </row>
    <row r="51" spans="4:8">
      <c r="D51">
        <v>20</v>
      </c>
      <c r="E51">
        <v>7</v>
      </c>
      <c r="F51">
        <v>0.97400000000000009</v>
      </c>
      <c r="H51">
        <v>60</v>
      </c>
    </row>
    <row r="52" spans="4:8">
      <c r="D52">
        <v>30</v>
      </c>
      <c r="E52">
        <v>7</v>
      </c>
      <c r="F52">
        <v>0.999</v>
      </c>
      <c r="H52">
        <v>20</v>
      </c>
    </row>
    <row r="53" spans="4:8">
      <c r="D53">
        <v>15</v>
      </c>
      <c r="E53">
        <v>4.5</v>
      </c>
      <c r="F53">
        <v>0.999</v>
      </c>
      <c r="H53">
        <v>40</v>
      </c>
    </row>
    <row r="54" spans="4:8">
      <c r="D54">
        <v>20</v>
      </c>
      <c r="E54">
        <v>5.7</v>
      </c>
      <c r="F54">
        <v>0.96700000000000008</v>
      </c>
      <c r="H54">
        <v>40</v>
      </c>
    </row>
    <row r="55" spans="4:8">
      <c r="D55">
        <v>30</v>
      </c>
      <c r="E55">
        <v>6.9</v>
      </c>
      <c r="F55">
        <v>0.97400000000000009</v>
      </c>
      <c r="H55">
        <v>80</v>
      </c>
    </row>
    <row r="56" spans="4:8">
      <c r="D56">
        <v>10</v>
      </c>
      <c r="E56">
        <v>5</v>
      </c>
      <c r="F56">
        <v>0.999</v>
      </c>
      <c r="H56">
        <v>60</v>
      </c>
    </row>
    <row r="57" spans="4:8">
      <c r="D57">
        <v>30</v>
      </c>
      <c r="E57">
        <v>4.5999999999999996</v>
      </c>
      <c r="F57">
        <v>0.999</v>
      </c>
      <c r="H57">
        <v>20</v>
      </c>
    </row>
    <row r="58" spans="4:8">
      <c r="D58">
        <v>30</v>
      </c>
      <c r="E58">
        <v>5.8</v>
      </c>
      <c r="F58">
        <v>0.97400000000000009</v>
      </c>
      <c r="H58">
        <v>80</v>
      </c>
    </row>
    <row r="59" spans="4:8">
      <c r="D59">
        <v>10</v>
      </c>
      <c r="E59">
        <v>6.9</v>
      </c>
      <c r="F59">
        <v>0.999</v>
      </c>
      <c r="H59">
        <v>80</v>
      </c>
    </row>
    <row r="60" spans="4:8">
      <c r="D60">
        <v>10</v>
      </c>
      <c r="E60">
        <v>6.8</v>
      </c>
      <c r="F60">
        <v>0.98599999999999999</v>
      </c>
      <c r="H60">
        <v>80</v>
      </c>
    </row>
    <row r="61" spans="4:8">
      <c r="D61">
        <v>15</v>
      </c>
      <c r="E61">
        <v>6.9</v>
      </c>
      <c r="F61">
        <v>0.97400000000000009</v>
      </c>
      <c r="H61">
        <v>80</v>
      </c>
    </row>
    <row r="62" spans="4:8">
      <c r="D62">
        <v>10</v>
      </c>
      <c r="E62">
        <v>6</v>
      </c>
      <c r="F62">
        <v>0.999</v>
      </c>
      <c r="H62">
        <v>80</v>
      </c>
    </row>
    <row r="63" spans="4:8">
      <c r="D63">
        <v>25</v>
      </c>
      <c r="E63">
        <v>5.8</v>
      </c>
      <c r="F63">
        <v>0.96099999999999997</v>
      </c>
      <c r="H63">
        <v>20</v>
      </c>
    </row>
    <row r="64" spans="4:8">
      <c r="D64">
        <v>30</v>
      </c>
      <c r="E64">
        <v>6</v>
      </c>
      <c r="F64">
        <v>0.96099999999999997</v>
      </c>
      <c r="H64">
        <v>20</v>
      </c>
    </row>
    <row r="65" spans="4:8">
      <c r="D65">
        <v>15</v>
      </c>
      <c r="E65">
        <v>5.9</v>
      </c>
      <c r="F65">
        <v>0.97400000000000009</v>
      </c>
      <c r="H65">
        <v>40</v>
      </c>
    </row>
    <row r="66" spans="4:8">
      <c r="D66">
        <v>10</v>
      </c>
      <c r="E66">
        <v>6.9</v>
      </c>
      <c r="F66">
        <v>0.98599999999999999</v>
      </c>
      <c r="H66">
        <v>60</v>
      </c>
    </row>
    <row r="67" spans="4:8">
      <c r="D67">
        <v>12</v>
      </c>
      <c r="E67">
        <v>6.8</v>
      </c>
      <c r="F67">
        <v>0.97</v>
      </c>
      <c r="H67">
        <v>0</v>
      </c>
    </row>
    <row r="68" spans="4:8">
      <c r="D68">
        <v>10</v>
      </c>
      <c r="E68">
        <v>5.9</v>
      </c>
      <c r="F68">
        <v>0.999</v>
      </c>
      <c r="H68">
        <v>0</v>
      </c>
    </row>
    <row r="69" spans="4:8">
      <c r="D69">
        <v>28</v>
      </c>
      <c r="E69">
        <v>5.9</v>
      </c>
      <c r="F69">
        <v>0.999</v>
      </c>
      <c r="H69">
        <v>0</v>
      </c>
    </row>
    <row r="70" spans="4:8">
      <c r="D70">
        <v>22</v>
      </c>
      <c r="E70">
        <v>5.4</v>
      </c>
      <c r="F70">
        <v>0.999</v>
      </c>
      <c r="H70">
        <v>0</v>
      </c>
    </row>
    <row r="71" spans="4:8">
      <c r="D71">
        <v>20</v>
      </c>
      <c r="E71">
        <v>7</v>
      </c>
      <c r="F71">
        <v>0.999</v>
      </c>
      <c r="H71">
        <v>0</v>
      </c>
    </row>
    <row r="72" spans="4:8">
      <c r="D72">
        <v>30</v>
      </c>
      <c r="E72">
        <v>7</v>
      </c>
      <c r="F72">
        <v>0.999</v>
      </c>
      <c r="H72">
        <v>0</v>
      </c>
    </row>
    <row r="73" spans="4:8">
      <c r="D73">
        <v>30</v>
      </c>
      <c r="E73">
        <v>7</v>
      </c>
      <c r="F73">
        <v>0.97099999999999997</v>
      </c>
      <c r="H73">
        <v>0</v>
      </c>
    </row>
    <row r="74" spans="4:8">
      <c r="D74">
        <v>10</v>
      </c>
      <c r="E74">
        <v>5</v>
      </c>
      <c r="F74">
        <v>0.98799999999999999</v>
      </c>
      <c r="H74">
        <v>0</v>
      </c>
    </row>
    <row r="75" spans="4:8">
      <c r="D75"/>
      <c r="E75"/>
      <c r="F75"/>
      <c r="H75"/>
    </row>
    <row r="76" spans="4:8">
      <c r="D76" s="2" t="s">
        <v>235</v>
      </c>
    </row>
    <row r="77" spans="4:8">
      <c r="D77">
        <v>37</v>
      </c>
      <c r="E77">
        <v>5.6</v>
      </c>
      <c r="F77">
        <v>0.9890000000000001</v>
      </c>
      <c r="H77">
        <v>100</v>
      </c>
    </row>
    <row r="78" spans="4:8">
      <c r="D78">
        <v>20</v>
      </c>
      <c r="E78">
        <v>7</v>
      </c>
      <c r="F78">
        <v>0.9890000000000001</v>
      </c>
      <c r="H78">
        <v>100</v>
      </c>
    </row>
    <row r="79" spans="4:8">
      <c r="D79">
        <v>37</v>
      </c>
      <c r="E79">
        <v>7</v>
      </c>
      <c r="F79">
        <v>0.9890000000000001</v>
      </c>
      <c r="H79">
        <v>100</v>
      </c>
    </row>
    <row r="80" spans="4:8">
      <c r="D80">
        <v>37</v>
      </c>
      <c r="E80">
        <v>4.5</v>
      </c>
      <c r="F80">
        <v>0.999</v>
      </c>
      <c r="H80">
        <v>60</v>
      </c>
    </row>
    <row r="81" spans="4:8">
      <c r="D81">
        <v>37</v>
      </c>
      <c r="E81">
        <v>7</v>
      </c>
      <c r="F81">
        <v>0.999</v>
      </c>
      <c r="H81">
        <v>100</v>
      </c>
    </row>
    <row r="82" spans="4:8">
      <c r="D82">
        <v>37</v>
      </c>
      <c r="E82">
        <v>4.5999999999999996</v>
      </c>
      <c r="F82">
        <v>0.999</v>
      </c>
      <c r="H82">
        <v>100</v>
      </c>
    </row>
    <row r="83" spans="4:8">
      <c r="D83">
        <v>37</v>
      </c>
      <c r="E83">
        <v>5.8</v>
      </c>
      <c r="F83">
        <v>0.97400000000000009</v>
      </c>
      <c r="H83">
        <v>80</v>
      </c>
    </row>
    <row r="84" spans="4:8">
      <c r="D84">
        <v>10</v>
      </c>
      <c r="E84">
        <v>7</v>
      </c>
      <c r="F84">
        <v>0.98599999999999999</v>
      </c>
      <c r="H84">
        <v>80</v>
      </c>
    </row>
    <row r="85" spans="4:8">
      <c r="D85">
        <v>15</v>
      </c>
      <c r="E85">
        <v>7</v>
      </c>
      <c r="F85">
        <v>0.97400000000000009</v>
      </c>
      <c r="H85">
        <v>80</v>
      </c>
    </row>
    <row r="86" spans="4:8">
      <c r="D86">
        <v>37</v>
      </c>
      <c r="E86">
        <v>7</v>
      </c>
      <c r="F86">
        <v>0.97400000000000009</v>
      </c>
      <c r="H86">
        <v>80</v>
      </c>
    </row>
    <row r="87" spans="4:8">
      <c r="D87">
        <v>10</v>
      </c>
      <c r="E87">
        <v>7</v>
      </c>
      <c r="F87">
        <v>0.999</v>
      </c>
      <c r="H87">
        <v>80</v>
      </c>
    </row>
    <row r="88" spans="4:8">
      <c r="D88">
        <v>37</v>
      </c>
      <c r="E88">
        <v>5.8</v>
      </c>
      <c r="F88">
        <v>0.96099999999999997</v>
      </c>
      <c r="H88">
        <v>20</v>
      </c>
    </row>
    <row r="89" spans="4:8">
      <c r="D89">
        <v>37</v>
      </c>
      <c r="E89">
        <v>7</v>
      </c>
      <c r="F89">
        <v>0.96099999999999997</v>
      </c>
      <c r="H89">
        <v>20</v>
      </c>
    </row>
    <row r="90" spans="4:8">
      <c r="D90">
        <v>10</v>
      </c>
      <c r="E90">
        <v>5</v>
      </c>
      <c r="F90">
        <v>0.999</v>
      </c>
      <c r="H90">
        <v>60</v>
      </c>
    </row>
    <row r="91" spans="4:8">
      <c r="D91">
        <v>10</v>
      </c>
      <c r="E91">
        <v>6</v>
      </c>
      <c r="F91">
        <v>0.999</v>
      </c>
      <c r="H91">
        <v>80</v>
      </c>
    </row>
    <row r="92" spans="4:8">
      <c r="D92">
        <v>10</v>
      </c>
      <c r="E92">
        <v>6.8</v>
      </c>
      <c r="F92">
        <v>0.98599999999999999</v>
      </c>
      <c r="H92">
        <v>80</v>
      </c>
    </row>
    <row r="93" spans="4:8">
      <c r="D93">
        <v>12</v>
      </c>
      <c r="E93">
        <v>5.0999999999999996</v>
      </c>
      <c r="F93">
        <v>0.9890000000000001</v>
      </c>
      <c r="H93">
        <v>60</v>
      </c>
    </row>
    <row r="94" spans="4:8">
      <c r="D94">
        <v>12</v>
      </c>
      <c r="E94">
        <v>5.2</v>
      </c>
      <c r="F94">
        <v>0.999</v>
      </c>
      <c r="H94">
        <v>80</v>
      </c>
    </row>
    <row r="95" spans="4:8">
      <c r="D95">
        <v>15</v>
      </c>
      <c r="E95">
        <v>4.5</v>
      </c>
      <c r="F95">
        <v>0.999</v>
      </c>
      <c r="H95">
        <v>40</v>
      </c>
    </row>
    <row r="96" spans="4:8">
      <c r="D96">
        <v>20</v>
      </c>
      <c r="E96">
        <v>4.5</v>
      </c>
      <c r="F96">
        <v>0.999</v>
      </c>
      <c r="H96">
        <v>60</v>
      </c>
    </row>
    <row r="97" spans="4:8">
      <c r="D97">
        <v>20</v>
      </c>
      <c r="E97">
        <v>4.5999999999999996</v>
      </c>
      <c r="F97">
        <v>0.999</v>
      </c>
      <c r="H97">
        <v>100</v>
      </c>
    </row>
    <row r="98" spans="4:8">
      <c r="D98">
        <v>20</v>
      </c>
      <c r="E98">
        <v>5.6</v>
      </c>
      <c r="F98">
        <v>0.9890000000000001</v>
      </c>
      <c r="H98">
        <v>100</v>
      </c>
    </row>
    <row r="99" spans="4:8">
      <c r="D99">
        <v>20</v>
      </c>
      <c r="E99">
        <v>5.9</v>
      </c>
      <c r="F99">
        <v>0.96099999999999997</v>
      </c>
      <c r="H99">
        <v>40</v>
      </c>
    </row>
    <row r="100" spans="4:8">
      <c r="D100">
        <v>20</v>
      </c>
      <c r="E100">
        <v>6.9</v>
      </c>
      <c r="F100">
        <v>0.96099999999999997</v>
      </c>
      <c r="H100">
        <v>40</v>
      </c>
    </row>
    <row r="101" spans="4:8">
      <c r="D101">
        <v>20</v>
      </c>
      <c r="E101">
        <v>7</v>
      </c>
      <c r="F101">
        <v>0.999</v>
      </c>
      <c r="H101">
        <v>100</v>
      </c>
    </row>
    <row r="102" spans="4:8">
      <c r="D102">
        <v>25</v>
      </c>
      <c r="E102">
        <v>5.8</v>
      </c>
      <c r="F102">
        <v>0.97400000000000009</v>
      </c>
      <c r="H102">
        <v>80</v>
      </c>
    </row>
    <row r="103" spans="4:8">
      <c r="D103">
        <v>25</v>
      </c>
      <c r="E103">
        <v>6.9</v>
      </c>
      <c r="F103">
        <v>0.96099999999999997</v>
      </c>
      <c r="H103">
        <v>40</v>
      </c>
    </row>
    <row r="104" spans="4:8">
      <c r="D104">
        <v>45</v>
      </c>
      <c r="E104">
        <v>7.3</v>
      </c>
      <c r="F104">
        <v>0.999</v>
      </c>
      <c r="H104">
        <v>0</v>
      </c>
    </row>
    <row r="105" spans="4:8">
      <c r="D105">
        <v>37</v>
      </c>
      <c r="E105">
        <v>6</v>
      </c>
      <c r="F105">
        <v>0.96099999999999997</v>
      </c>
      <c r="H105">
        <v>0</v>
      </c>
    </row>
    <row r="106" spans="4:8">
      <c r="D106">
        <v>12</v>
      </c>
      <c r="E106">
        <v>7</v>
      </c>
      <c r="F106">
        <v>0.97</v>
      </c>
      <c r="H106">
        <v>0</v>
      </c>
    </row>
    <row r="107" spans="4:8">
      <c r="D107">
        <v>7.5</v>
      </c>
      <c r="E107">
        <v>6.7</v>
      </c>
      <c r="F107">
        <v>0.98599999999999999</v>
      </c>
      <c r="H107">
        <v>0</v>
      </c>
    </row>
    <row r="108" spans="4:8">
      <c r="D108">
        <v>7.5</v>
      </c>
      <c r="E108">
        <v>7</v>
      </c>
      <c r="F108">
        <v>0.98599999999999999</v>
      </c>
      <c r="H108">
        <v>0</v>
      </c>
    </row>
    <row r="109" spans="4:8">
      <c r="D109">
        <v>7.5</v>
      </c>
      <c r="E109">
        <v>7.2</v>
      </c>
      <c r="F109">
        <v>0.999</v>
      </c>
      <c r="H109">
        <v>0</v>
      </c>
    </row>
    <row r="110" spans="4:8">
      <c r="D110">
        <v>8</v>
      </c>
      <c r="E110">
        <v>7</v>
      </c>
      <c r="F110">
        <v>0.97699999999999998</v>
      </c>
      <c r="H110">
        <v>0</v>
      </c>
    </row>
    <row r="111" spans="4:8">
      <c r="D111">
        <v>8.1999999999999993</v>
      </c>
      <c r="E111">
        <v>5.7</v>
      </c>
      <c r="F111">
        <v>0.999</v>
      </c>
      <c r="H111">
        <v>0</v>
      </c>
    </row>
    <row r="112" spans="4:8">
      <c r="D112">
        <v>10</v>
      </c>
      <c r="E112">
        <v>4.5999999999999996</v>
      </c>
      <c r="F112">
        <v>0.999</v>
      </c>
      <c r="H112">
        <v>0</v>
      </c>
    </row>
    <row r="113" spans="4:8">
      <c r="D113">
        <v>10</v>
      </c>
      <c r="E113">
        <v>4.7</v>
      </c>
      <c r="F113">
        <v>0.99199999999999999</v>
      </c>
      <c r="H113">
        <v>0</v>
      </c>
    </row>
    <row r="114" spans="4:8">
      <c r="D114">
        <v>10</v>
      </c>
      <c r="E114">
        <v>5.8</v>
      </c>
      <c r="F114">
        <v>0.96900000000000008</v>
      </c>
      <c r="H114">
        <v>0</v>
      </c>
    </row>
    <row r="115" spans="4:8">
      <c r="D115">
        <v>10</v>
      </c>
      <c r="E115">
        <v>8.4</v>
      </c>
      <c r="F115">
        <v>0.999</v>
      </c>
      <c r="H115">
        <v>0</v>
      </c>
    </row>
    <row r="116" spans="4:8">
      <c r="D116">
        <v>12</v>
      </c>
      <c r="E116">
        <v>4.5</v>
      </c>
      <c r="F116">
        <v>0.999</v>
      </c>
      <c r="H116">
        <v>0</v>
      </c>
    </row>
    <row r="117" spans="4:8">
      <c r="D117">
        <v>12</v>
      </c>
      <c r="E117">
        <v>8.5</v>
      </c>
      <c r="F117">
        <v>0.999</v>
      </c>
      <c r="H117">
        <v>0</v>
      </c>
    </row>
    <row r="118" spans="4:8">
      <c r="D118">
        <v>20</v>
      </c>
      <c r="E118">
        <v>6</v>
      </c>
      <c r="F118">
        <v>0.96099999999999997</v>
      </c>
      <c r="H118">
        <v>0</v>
      </c>
    </row>
    <row r="119" spans="4:8">
      <c r="D119">
        <v>20</v>
      </c>
      <c r="E119">
        <v>7</v>
      </c>
      <c r="F119">
        <v>0.96099999999999997</v>
      </c>
      <c r="H119">
        <v>0</v>
      </c>
    </row>
    <row r="120" spans="4:8">
      <c r="D120">
        <v>25</v>
      </c>
      <c r="E120">
        <v>5.5</v>
      </c>
      <c r="F120">
        <v>0.96099999999999997</v>
      </c>
      <c r="H120">
        <v>0</v>
      </c>
    </row>
    <row r="121" spans="4:8">
      <c r="D121">
        <v>28</v>
      </c>
      <c r="E121">
        <v>4.5</v>
      </c>
      <c r="F121">
        <v>0.97099999999999997</v>
      </c>
      <c r="H121">
        <v>0</v>
      </c>
    </row>
    <row r="122" spans="4:8">
      <c r="D122">
        <v>28</v>
      </c>
      <c r="E122">
        <v>6.5</v>
      </c>
      <c r="F122">
        <v>0.998</v>
      </c>
      <c r="H122">
        <v>0</v>
      </c>
    </row>
    <row r="123" spans="4:8">
      <c r="D123">
        <v>28</v>
      </c>
      <c r="E123">
        <v>8.5</v>
      </c>
      <c r="F123">
        <v>0.98</v>
      </c>
      <c r="H123">
        <v>0</v>
      </c>
    </row>
    <row r="124" spans="4:8">
      <c r="D124">
        <v>37</v>
      </c>
      <c r="E124">
        <v>7.3</v>
      </c>
      <c r="F124">
        <v>0.96099999999999997</v>
      </c>
      <c r="H124">
        <v>0</v>
      </c>
    </row>
    <row r="125" spans="4:8">
      <c r="D125">
        <v>40</v>
      </c>
      <c r="E125">
        <v>7</v>
      </c>
      <c r="F125">
        <v>0.96400000000000008</v>
      </c>
      <c r="H125">
        <v>0</v>
      </c>
    </row>
    <row r="126" spans="4:8">
      <c r="D126">
        <v>42</v>
      </c>
      <c r="E126">
        <v>4.5</v>
      </c>
      <c r="F126">
        <v>0.97099999999999997</v>
      </c>
      <c r="H126">
        <v>0</v>
      </c>
    </row>
    <row r="127" spans="4:8">
      <c r="D127">
        <v>42</v>
      </c>
      <c r="E127">
        <v>4.5</v>
      </c>
      <c r="F127">
        <v>0.999</v>
      </c>
      <c r="H127">
        <v>0</v>
      </c>
    </row>
    <row r="128" spans="4:8">
      <c r="D128">
        <v>42</v>
      </c>
      <c r="E128">
        <v>8.5</v>
      </c>
      <c r="F128">
        <v>0.97099999999999997</v>
      </c>
      <c r="H128">
        <v>0</v>
      </c>
    </row>
    <row r="129" spans="4:8">
      <c r="D129">
        <v>42</v>
      </c>
      <c r="E129">
        <v>8.5</v>
      </c>
      <c r="F129">
        <v>0.999</v>
      </c>
      <c r="H129">
        <v>0</v>
      </c>
    </row>
    <row r="131" spans="4:8">
      <c r="D131" s="2" t="s">
        <v>236</v>
      </c>
    </row>
    <row r="132" spans="4:8">
      <c r="D132" s="2">
        <v>40</v>
      </c>
      <c r="E132" s="2">
        <v>10</v>
      </c>
      <c r="F132" s="2">
        <v>1</v>
      </c>
      <c r="H132" s="2">
        <v>0</v>
      </c>
    </row>
    <row r="133" spans="4:8">
      <c r="D133" s="2">
        <v>0</v>
      </c>
      <c r="E133" s="2">
        <v>4</v>
      </c>
      <c r="F133" s="2">
        <v>1</v>
      </c>
      <c r="H133" s="2">
        <v>0</v>
      </c>
    </row>
    <row r="134" spans="4:8">
      <c r="D134" s="2">
        <v>0</v>
      </c>
      <c r="E134" s="2">
        <v>11</v>
      </c>
      <c r="F134" s="2">
        <v>0.9</v>
      </c>
      <c r="H134" s="2">
        <v>0</v>
      </c>
    </row>
    <row r="135" spans="4:8">
      <c r="D135" s="2">
        <v>0</v>
      </c>
      <c r="E135" s="2">
        <v>11</v>
      </c>
      <c r="F135" s="2">
        <v>1</v>
      </c>
      <c r="H135" s="2">
        <v>0</v>
      </c>
    </row>
    <row r="136" spans="4:8">
      <c r="D136" s="2">
        <v>55</v>
      </c>
      <c r="E136" s="2">
        <v>4</v>
      </c>
      <c r="F136" s="2">
        <v>0.9</v>
      </c>
      <c r="H136" s="2">
        <v>0</v>
      </c>
    </row>
    <row r="137" spans="4:8">
      <c r="D137" s="2">
        <v>55</v>
      </c>
      <c r="E137" s="2">
        <v>4</v>
      </c>
      <c r="F137" s="2">
        <v>1</v>
      </c>
      <c r="H137" s="2">
        <v>0</v>
      </c>
    </row>
    <row r="138" spans="4:8">
      <c r="D138" s="2">
        <v>0</v>
      </c>
      <c r="E138" s="2">
        <v>4</v>
      </c>
      <c r="F138" s="2">
        <v>1</v>
      </c>
      <c r="H138" s="2">
        <v>100</v>
      </c>
    </row>
    <row r="139" spans="4:8">
      <c r="D139" s="2">
        <v>0</v>
      </c>
      <c r="E139" s="2">
        <v>11</v>
      </c>
      <c r="F139" s="2">
        <v>1</v>
      </c>
      <c r="H139" s="2">
        <v>100</v>
      </c>
    </row>
    <row r="140" spans="4:8">
      <c r="D140" s="2">
        <v>55</v>
      </c>
      <c r="E140" s="2">
        <v>4</v>
      </c>
      <c r="F140" s="2">
        <v>1</v>
      </c>
      <c r="H140" s="2">
        <v>100</v>
      </c>
    </row>
    <row r="141" spans="4:8">
      <c r="D141" s="2">
        <v>55</v>
      </c>
      <c r="E141" s="2">
        <v>11</v>
      </c>
      <c r="F141" s="2">
        <v>0.9</v>
      </c>
      <c r="H141" s="2">
        <v>100</v>
      </c>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29"/>
  <sheetViews>
    <sheetView workbookViewId="0">
      <pane ySplit="2" topLeftCell="A3" activePane="bottomLeft" state="frozen"/>
      <selection activeCell="E28" sqref="E28"/>
      <selection pane="bottomLeft" activeCell="E28" sqref="E28"/>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Orgs!B13</f>
        <v>Listeria monocytogenes</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EXP(-3.95)</f>
        <v>1.925470177538692E-2</v>
      </c>
      <c r="D3" s="30">
        <v>20</v>
      </c>
      <c r="E3" s="30">
        <v>7</v>
      </c>
      <c r="F3" s="32" t="s">
        <v>201</v>
      </c>
      <c r="G3" s="30">
        <v>0.5</v>
      </c>
      <c r="H3" s="30"/>
      <c r="I3" s="30"/>
      <c r="J3" s="30"/>
      <c r="K3" s="30"/>
      <c r="L3" s="30"/>
      <c r="M3" s="30"/>
      <c r="N3" s="30"/>
      <c r="O3" s="33"/>
    </row>
    <row r="4" spans="1:15">
      <c r="A4" s="29" t="s">
        <v>202</v>
      </c>
      <c r="B4" s="30"/>
      <c r="C4" s="34"/>
      <c r="D4" s="30">
        <v>1</v>
      </c>
      <c r="E4" s="30">
        <v>4.4000000000000004</v>
      </c>
      <c r="F4" s="30"/>
      <c r="G4" s="30">
        <v>0</v>
      </c>
      <c r="H4" s="30"/>
      <c r="I4" s="30"/>
      <c r="J4" s="30"/>
      <c r="K4" s="30"/>
      <c r="L4" s="30"/>
      <c r="M4" s="30"/>
      <c r="N4" s="30"/>
      <c r="O4" s="33"/>
    </row>
    <row r="5" spans="1:15" ht="13.5" thickBot="1">
      <c r="A5" s="35" t="s">
        <v>203</v>
      </c>
      <c r="B5" s="36"/>
      <c r="C5" s="37"/>
      <c r="D5" s="36">
        <v>35</v>
      </c>
      <c r="E5" s="36">
        <v>7.5</v>
      </c>
      <c r="F5" s="36"/>
      <c r="G5" s="36">
        <v>11.5</v>
      </c>
      <c r="H5" s="36"/>
      <c r="I5" s="36"/>
      <c r="J5" s="36"/>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c r="A9" s="2" t="s">
        <v>212</v>
      </c>
      <c r="D9" s="2">
        <v>3</v>
      </c>
      <c r="E9" s="2">
        <v>1</v>
      </c>
      <c r="F9" s="2">
        <v>0.02</v>
      </c>
    </row>
    <row r="10" spans="1:15" ht="14.25">
      <c r="A10" s="39"/>
      <c r="B10" s="53" t="s">
        <v>213</v>
      </c>
      <c r="C10" s="27"/>
      <c r="D10" s="27"/>
      <c r="E10" s="43"/>
      <c r="F10" s="43"/>
      <c r="G10" s="44"/>
      <c r="H10" s="56" t="s">
        <v>214</v>
      </c>
      <c r="I10" s="45"/>
    </row>
    <row r="11" spans="1:15">
      <c r="A11" s="29" t="s">
        <v>215</v>
      </c>
      <c r="B11" s="32">
        <v>0.3</v>
      </c>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f>
        <v xml:space="preserve"> =EXP(1*(-14.02)+tr*(0.2279)+pr*(2.784)+bw*(7.437)+tr*pr*(0.00696)+tr*bw*(-0.06091)+pr*bw*(0.3333)+tr^2*(-0.003908)+pr^2*(-0.2101)+bw^2*(-52.05))</v>
      </c>
      <c r="C12" s="49"/>
      <c r="D12" s="50"/>
      <c r="E12" s="49"/>
      <c r="F12" s="50"/>
      <c r="G12" s="51"/>
      <c r="H12" s="36">
        <v>8.6999999999999993</v>
      </c>
      <c r="I12" s="38"/>
    </row>
    <row r="13" spans="1:15" ht="13.5" thickBot="1"/>
    <row r="14" spans="1:15">
      <c r="A14" s="1">
        <v>1</v>
      </c>
      <c r="B14" s="24">
        <v>1</v>
      </c>
      <c r="C14" s="54">
        <v>-14.02</v>
      </c>
      <c r="F14" s="194"/>
      <c r="G14" s="195"/>
      <c r="H14" s="195"/>
      <c r="I14" s="195"/>
      <c r="J14" s="195"/>
      <c r="K14" s="195"/>
      <c r="L14" s="195"/>
      <c r="M14" s="195"/>
      <c r="N14" s="195"/>
      <c r="O14" s="196"/>
    </row>
    <row r="15" spans="1:15">
      <c r="A15" s="1">
        <v>20</v>
      </c>
      <c r="B15" s="24" t="s">
        <v>45</v>
      </c>
      <c r="C15" s="54">
        <v>0.22789999999999999</v>
      </c>
      <c r="F15" s="197" t="s">
        <v>202</v>
      </c>
      <c r="G15" s="30" t="s">
        <v>203</v>
      </c>
      <c r="H15" s="30"/>
      <c r="I15" s="30"/>
      <c r="J15" s="30"/>
      <c r="K15" s="30"/>
      <c r="L15" s="198" t="s">
        <v>217</v>
      </c>
      <c r="M15" s="30">
        <v>23.341799999999999</v>
      </c>
      <c r="N15" s="30"/>
      <c r="O15" s="33"/>
    </row>
    <row r="16" spans="1:15">
      <c r="A16" s="1">
        <v>7</v>
      </c>
      <c r="B16" s="24" t="s">
        <v>46</v>
      </c>
      <c r="C16" s="54">
        <v>2.7839999999999998</v>
      </c>
      <c r="F16" s="197">
        <v>-1.5</v>
      </c>
      <c r="G16" s="30">
        <v>37</v>
      </c>
      <c r="H16" s="30"/>
      <c r="I16" s="198" t="s">
        <v>218</v>
      </c>
      <c r="J16" s="30">
        <v>-2</v>
      </c>
      <c r="K16" s="30"/>
      <c r="L16" s="30" t="s">
        <v>219</v>
      </c>
      <c r="M16" s="30">
        <v>-4.7412000000000001</v>
      </c>
      <c r="N16" s="30"/>
      <c r="O16" s="33"/>
    </row>
    <row r="17" spans="1:15">
      <c r="A17" s="1">
        <v>0.5</v>
      </c>
      <c r="B17" s="24" t="s">
        <v>47</v>
      </c>
      <c r="C17" s="54">
        <v>7.4370000000000003</v>
      </c>
      <c r="F17" s="197">
        <v>4.3</v>
      </c>
      <c r="G17" s="30">
        <v>7.5</v>
      </c>
      <c r="H17" s="30"/>
      <c r="I17" s="198" t="s">
        <v>220</v>
      </c>
      <c r="J17" s="30">
        <v>4.2</v>
      </c>
      <c r="K17" s="30"/>
      <c r="L17" s="30" t="s">
        <v>221</v>
      </c>
      <c r="M17" s="30">
        <v>0</v>
      </c>
      <c r="N17" s="30"/>
      <c r="O17" s="33"/>
    </row>
    <row r="18" spans="1:15">
      <c r="A18" s="1">
        <f>A$15*A$16</f>
        <v>140</v>
      </c>
      <c r="B18" s="24" t="s">
        <v>222</v>
      </c>
      <c r="C18" s="54">
        <v>6.96E-3</v>
      </c>
      <c r="F18" s="197">
        <v>0.92200000000000004</v>
      </c>
      <c r="G18" s="30">
        <v>1</v>
      </c>
      <c r="H18" s="30"/>
      <c r="I18" s="198" t="s">
        <v>223</v>
      </c>
      <c r="J18" s="30">
        <v>0.91500000000000004</v>
      </c>
      <c r="K18" s="30"/>
      <c r="L18" s="30" t="s">
        <v>224</v>
      </c>
      <c r="M18" s="30">
        <v>10.3531</v>
      </c>
      <c r="N18" s="30"/>
      <c r="O18" s="33"/>
    </row>
    <row r="19" spans="1:15">
      <c r="A19" s="1">
        <f>A$15*A$17</f>
        <v>10</v>
      </c>
      <c r="B19" s="24" t="s">
        <v>225</v>
      </c>
      <c r="C19" s="54">
        <v>-6.0909999999999999E-2</v>
      </c>
      <c r="F19" s="197"/>
      <c r="G19" s="30"/>
      <c r="H19" s="30"/>
      <c r="I19" s="30"/>
      <c r="J19" s="30"/>
      <c r="K19" s="30"/>
      <c r="L19" s="30" t="s">
        <v>226</v>
      </c>
      <c r="M19" s="30">
        <v>0</v>
      </c>
      <c r="N19" s="30"/>
      <c r="O19" s="33"/>
    </row>
    <row r="20" spans="1:15">
      <c r="A20" s="1">
        <f>A$16*A$17</f>
        <v>3.5</v>
      </c>
      <c r="B20" s="24" t="s">
        <v>227</v>
      </c>
      <c r="C20" s="54">
        <v>0.33329999999999999</v>
      </c>
      <c r="F20" s="197"/>
      <c r="G20" s="30"/>
      <c r="H20" s="30"/>
      <c r="I20" s="30"/>
      <c r="J20" s="30"/>
      <c r="K20" s="30"/>
      <c r="L20" s="30" t="s">
        <v>228</v>
      </c>
      <c r="M20" s="30">
        <v>-2.9449000000000001</v>
      </c>
      <c r="N20" s="30"/>
      <c r="O20" s="33"/>
    </row>
    <row r="21" spans="1:15">
      <c r="A21" s="1">
        <f>A$15^2</f>
        <v>400</v>
      </c>
      <c r="B21" s="24" t="s">
        <v>229</v>
      </c>
      <c r="C21" s="54">
        <v>-3.908E-3</v>
      </c>
      <c r="F21" s="197"/>
      <c r="G21" s="30"/>
      <c r="H21" s="30"/>
      <c r="I21" s="30"/>
      <c r="J21" s="30"/>
      <c r="K21" s="30"/>
      <c r="L21" s="30" t="s">
        <v>230</v>
      </c>
      <c r="M21" s="30">
        <v>-4.2221000000000002</v>
      </c>
      <c r="N21" s="30"/>
      <c r="O21" s="33"/>
    </row>
    <row r="22" spans="1:15" ht="13.5" thickBot="1">
      <c r="A22" s="1">
        <f>A$16^2</f>
        <v>49</v>
      </c>
      <c r="B22" s="24" t="s">
        <v>231</v>
      </c>
      <c r="C22" s="54">
        <v>-0.21010000000000001</v>
      </c>
      <c r="F22" s="199"/>
      <c r="G22" s="36"/>
      <c r="H22" s="36"/>
      <c r="I22" s="36"/>
      <c r="J22" s="36"/>
      <c r="K22" s="36"/>
      <c r="L22" s="30" t="s">
        <v>232</v>
      </c>
      <c r="M22" s="36">
        <v>1.1069</v>
      </c>
      <c r="N22" s="36"/>
      <c r="O22" s="38"/>
    </row>
    <row r="23" spans="1:15">
      <c r="A23" s="1">
        <f>A$17^2</f>
        <v>0.25</v>
      </c>
      <c r="B23" s="24" t="s">
        <v>233</v>
      </c>
      <c r="C23" s="54">
        <v>-52.05</v>
      </c>
    </row>
    <row r="24" spans="1:15">
      <c r="A24" s="1"/>
      <c r="B24" s="24"/>
      <c r="C24" s="54"/>
    </row>
    <row r="25" spans="1:15">
      <c r="A25" s="1"/>
      <c r="B25" s="24"/>
      <c r="C25" s="54"/>
    </row>
    <row r="26" spans="1:15">
      <c r="A26" s="1"/>
      <c r="B26" s="24"/>
      <c r="C26" s="54"/>
    </row>
    <row r="27" spans="1:15">
      <c r="A27" s="1"/>
      <c r="B27" s="24"/>
      <c r="C27" s="54"/>
    </row>
    <row r="28" spans="1:15">
      <c r="A28" s="1"/>
      <c r="B28" s="24"/>
      <c r="C28" s="54"/>
      <c r="H28" s="126"/>
    </row>
    <row r="29" spans="1:15">
      <c r="H29" s="126"/>
    </row>
    <row r="30" spans="1:15">
      <c r="D30" s="124" t="s">
        <v>234</v>
      </c>
      <c r="H30" s="126"/>
    </row>
    <row r="31" spans="1:15">
      <c r="D31">
        <v>5</v>
      </c>
      <c r="E31">
        <v>7.4</v>
      </c>
      <c r="F31">
        <v>0.999</v>
      </c>
      <c r="G31" s="130"/>
      <c r="H31" s="126"/>
    </row>
    <row r="32" spans="1:15">
      <c r="D32">
        <v>35</v>
      </c>
      <c r="E32">
        <v>6</v>
      </c>
      <c r="F32">
        <v>0.95</v>
      </c>
      <c r="G32" s="130"/>
      <c r="H32" s="126"/>
    </row>
    <row r="33" spans="4:8">
      <c r="D33">
        <v>25</v>
      </c>
      <c r="E33">
        <v>4.5999999999999996</v>
      </c>
      <c r="F33">
        <v>0.999</v>
      </c>
      <c r="G33" s="130"/>
      <c r="H33" s="126"/>
    </row>
    <row r="34" spans="4:8">
      <c r="D34">
        <v>25</v>
      </c>
      <c r="E34">
        <v>7.4</v>
      </c>
      <c r="F34">
        <v>0.999</v>
      </c>
      <c r="G34" s="130"/>
      <c r="H34" s="126"/>
    </row>
    <row r="35" spans="4:8">
      <c r="D35">
        <v>5</v>
      </c>
      <c r="E35">
        <v>7.4</v>
      </c>
      <c r="F35">
        <v>0.95</v>
      </c>
      <c r="G35" s="130"/>
      <c r="H35" s="126"/>
    </row>
    <row r="36" spans="4:8">
      <c r="D36">
        <v>35</v>
      </c>
      <c r="E36">
        <v>4.5999999999999996</v>
      </c>
      <c r="F36">
        <v>0.999</v>
      </c>
      <c r="G36" s="130"/>
      <c r="H36" s="126"/>
    </row>
    <row r="37" spans="4:8">
      <c r="D37">
        <v>35</v>
      </c>
      <c r="E37">
        <v>7.4</v>
      </c>
      <c r="F37">
        <v>0.999</v>
      </c>
      <c r="G37" s="130"/>
      <c r="H37" s="126"/>
    </row>
    <row r="38" spans="4:8">
      <c r="D38">
        <v>8</v>
      </c>
      <c r="E38">
        <v>4.5999999999999996</v>
      </c>
      <c r="F38">
        <v>0.999</v>
      </c>
      <c r="G38" s="130"/>
      <c r="H38" s="126"/>
    </row>
    <row r="39" spans="4:8">
      <c r="D39">
        <v>25</v>
      </c>
      <c r="E39">
        <v>4.9000000000000004</v>
      </c>
      <c r="F39">
        <v>0.95700000000000007</v>
      </c>
      <c r="G39" s="130"/>
      <c r="H39" s="126"/>
    </row>
    <row r="40" spans="4:8">
      <c r="D40">
        <v>35</v>
      </c>
      <c r="E40">
        <v>4.9000000000000004</v>
      </c>
      <c r="F40">
        <v>0.95700000000000007</v>
      </c>
      <c r="G40" s="130"/>
      <c r="H40" s="126"/>
    </row>
    <row r="41" spans="4:8">
      <c r="D41">
        <v>35</v>
      </c>
      <c r="E41">
        <v>7.4</v>
      </c>
      <c r="F41">
        <v>0.95</v>
      </c>
      <c r="G41" s="130"/>
      <c r="H41" s="126"/>
    </row>
    <row r="42" spans="4:8">
      <c r="D42">
        <v>10</v>
      </c>
      <c r="E42">
        <v>4.5</v>
      </c>
      <c r="F42">
        <v>0.999</v>
      </c>
      <c r="G42" s="130"/>
      <c r="H42" s="126"/>
    </row>
    <row r="43" spans="4:8">
      <c r="D43">
        <v>10</v>
      </c>
      <c r="E43">
        <v>4.5999999999999996</v>
      </c>
      <c r="F43">
        <v>0.97699999999999998</v>
      </c>
      <c r="G43" s="130"/>
      <c r="H43" s="126"/>
    </row>
    <row r="44" spans="4:8">
      <c r="D44">
        <v>10</v>
      </c>
      <c r="E44">
        <v>5.2</v>
      </c>
      <c r="F44">
        <v>0.95</v>
      </c>
      <c r="G44" s="130"/>
      <c r="H44" s="126"/>
    </row>
    <row r="45" spans="4:8">
      <c r="D45">
        <v>35</v>
      </c>
      <c r="E45">
        <v>4.5999999999999996</v>
      </c>
      <c r="F45">
        <v>0.97699999999999998</v>
      </c>
      <c r="G45" s="130"/>
      <c r="H45" s="126"/>
    </row>
    <row r="46" spans="4:8">
      <c r="D46">
        <v>4</v>
      </c>
      <c r="E46">
        <v>5</v>
      </c>
      <c r="F46">
        <v>0.999</v>
      </c>
      <c r="G46" s="130"/>
      <c r="H46" s="126"/>
    </row>
    <row r="47" spans="4:8">
      <c r="D47">
        <v>1</v>
      </c>
      <c r="E47">
        <v>5.6</v>
      </c>
      <c r="F47">
        <v>0.999</v>
      </c>
      <c r="G47" s="130"/>
      <c r="H47" s="126"/>
    </row>
    <row r="48" spans="4:8">
      <c r="D48">
        <v>1</v>
      </c>
      <c r="E48">
        <v>6.9</v>
      </c>
      <c r="F48">
        <v>0.999</v>
      </c>
      <c r="G48" s="130"/>
      <c r="H48" s="126"/>
    </row>
    <row r="49" spans="4:13">
      <c r="D49">
        <v>20</v>
      </c>
      <c r="E49">
        <v>4.4000000000000004</v>
      </c>
      <c r="F49">
        <v>0.999</v>
      </c>
      <c r="G49" s="130"/>
      <c r="H49" s="126"/>
    </row>
    <row r="50" spans="4:13">
      <c r="D50">
        <v>20</v>
      </c>
      <c r="E50">
        <v>7</v>
      </c>
      <c r="F50">
        <v>0.93500000000000005</v>
      </c>
      <c r="G50" s="130"/>
      <c r="H50" s="126"/>
    </row>
    <row r="51" spans="4:13">
      <c r="D51">
        <v>8</v>
      </c>
      <c r="E51">
        <v>7</v>
      </c>
      <c r="F51">
        <v>0.93500000000000005</v>
      </c>
      <c r="G51" s="130"/>
      <c r="H51" s="126"/>
    </row>
    <row r="52" spans="4:13">
      <c r="D52">
        <v>10</v>
      </c>
      <c r="E52">
        <v>6.4</v>
      </c>
      <c r="F52">
        <v>0.92400000000000004</v>
      </c>
      <c r="G52" s="130"/>
      <c r="H52" s="126"/>
    </row>
    <row r="53" spans="4:13">
      <c r="D53">
        <v>1</v>
      </c>
      <c r="E53">
        <v>6.9</v>
      </c>
      <c r="F53">
        <v>0.97400000000000009</v>
      </c>
      <c r="G53" s="130"/>
      <c r="H53" s="126"/>
    </row>
    <row r="54" spans="4:13">
      <c r="D54">
        <v>3</v>
      </c>
      <c r="E54">
        <v>6.3</v>
      </c>
      <c r="F54">
        <v>0.93099999999999994</v>
      </c>
      <c r="G54" s="130"/>
      <c r="H54" s="126"/>
    </row>
    <row r="55" spans="4:13">
      <c r="D55">
        <v>3</v>
      </c>
      <c r="E55">
        <v>6.8</v>
      </c>
      <c r="F55">
        <v>0.93099999999999994</v>
      </c>
      <c r="G55" s="130"/>
      <c r="H55" s="126"/>
    </row>
    <row r="56" spans="4:13">
      <c r="D56" s="129"/>
      <c r="E56" s="129"/>
      <c r="F56" s="129"/>
      <c r="H56" s="126"/>
    </row>
    <row r="57" spans="4:13">
      <c r="D57" s="2" t="s">
        <v>235</v>
      </c>
      <c r="G57"/>
      <c r="H57"/>
    </row>
    <row r="58" spans="4:13">
      <c r="D58">
        <v>37</v>
      </c>
      <c r="E58">
        <v>4.9000000000000004</v>
      </c>
      <c r="F58">
        <v>0.95700000000000007</v>
      </c>
      <c r="G58"/>
      <c r="I58"/>
      <c r="J58"/>
      <c r="K58"/>
      <c r="M58"/>
    </row>
    <row r="59" spans="4:13">
      <c r="D59">
        <v>37</v>
      </c>
      <c r="E59">
        <v>4.5999999999999996</v>
      </c>
      <c r="F59">
        <v>0.97699999999999998</v>
      </c>
      <c r="I59"/>
      <c r="J59"/>
      <c r="K59"/>
      <c r="M59"/>
    </row>
    <row r="60" spans="4:13">
      <c r="D60">
        <v>37</v>
      </c>
      <c r="E60">
        <v>4.4000000000000004</v>
      </c>
      <c r="F60">
        <v>0.999</v>
      </c>
      <c r="I60"/>
      <c r="J60"/>
      <c r="K60"/>
      <c r="M60"/>
    </row>
    <row r="61" spans="4:13">
      <c r="D61">
        <v>37</v>
      </c>
      <c r="E61">
        <v>6.4</v>
      </c>
      <c r="F61">
        <v>0.92400000000000004</v>
      </c>
      <c r="I61"/>
      <c r="J61"/>
      <c r="K61"/>
      <c r="M61"/>
    </row>
    <row r="62" spans="4:13">
      <c r="D62">
        <v>10</v>
      </c>
      <c r="E62">
        <v>7</v>
      </c>
      <c r="F62">
        <v>0.92400000000000004</v>
      </c>
      <c r="I62"/>
      <c r="J62"/>
      <c r="K62"/>
      <c r="M62"/>
    </row>
    <row r="63" spans="4:13">
      <c r="D63">
        <v>37</v>
      </c>
      <c r="E63">
        <v>7</v>
      </c>
      <c r="F63">
        <v>0.92400000000000004</v>
      </c>
      <c r="I63"/>
      <c r="J63"/>
      <c r="K63"/>
      <c r="M63"/>
    </row>
    <row r="64" spans="4:13">
      <c r="D64">
        <v>3</v>
      </c>
      <c r="E64">
        <v>7</v>
      </c>
      <c r="F64">
        <v>0.93099999999999994</v>
      </c>
      <c r="I64"/>
      <c r="J64"/>
      <c r="K64"/>
      <c r="M64"/>
    </row>
    <row r="65" spans="4:13">
      <c r="D65">
        <v>28</v>
      </c>
      <c r="E65">
        <v>6.7</v>
      </c>
      <c r="F65">
        <v>0.99900000000000011</v>
      </c>
      <c r="I65"/>
      <c r="J65"/>
      <c r="K65"/>
      <c r="M65"/>
    </row>
    <row r="66" spans="4:13">
      <c r="D66">
        <v>20</v>
      </c>
      <c r="E66">
        <v>4.3</v>
      </c>
      <c r="F66">
        <v>0.999</v>
      </c>
      <c r="I66"/>
      <c r="J66"/>
      <c r="K66"/>
      <c r="M66"/>
    </row>
    <row r="67" spans="4:13">
      <c r="D67">
        <v>10</v>
      </c>
      <c r="E67">
        <v>4.5</v>
      </c>
      <c r="F67">
        <v>0.97099999999999997</v>
      </c>
      <c r="I67"/>
      <c r="J67"/>
      <c r="K67"/>
      <c r="M67"/>
    </row>
    <row r="68" spans="4:13">
      <c r="D68">
        <v>20</v>
      </c>
      <c r="E68">
        <v>4.5</v>
      </c>
      <c r="F68">
        <v>0.93500000000000005</v>
      </c>
      <c r="I68"/>
      <c r="J68"/>
      <c r="K68"/>
      <c r="M68"/>
    </row>
    <row r="69" spans="4:13">
      <c r="D69">
        <v>8</v>
      </c>
      <c r="E69">
        <v>4.5</v>
      </c>
      <c r="F69">
        <v>0.999</v>
      </c>
      <c r="I69"/>
      <c r="J69"/>
      <c r="K69"/>
      <c r="M69"/>
    </row>
    <row r="70" spans="4:13">
      <c r="D70">
        <v>4</v>
      </c>
      <c r="E70">
        <v>4.7</v>
      </c>
      <c r="F70">
        <v>0.999</v>
      </c>
      <c r="I70"/>
      <c r="J70"/>
      <c r="K70"/>
      <c r="M70"/>
    </row>
    <row r="71" spans="4:13">
      <c r="D71">
        <v>3</v>
      </c>
      <c r="E71">
        <v>4.9000000000000004</v>
      </c>
      <c r="F71">
        <v>0.98599999999999999</v>
      </c>
      <c r="I71"/>
      <c r="J71"/>
      <c r="K71"/>
      <c r="M71"/>
    </row>
    <row r="72" spans="4:13">
      <c r="D72">
        <v>10</v>
      </c>
      <c r="E72">
        <v>5</v>
      </c>
      <c r="F72">
        <v>0.93500000000000005</v>
      </c>
      <c r="I72"/>
      <c r="J72"/>
      <c r="K72"/>
      <c r="M72"/>
    </row>
    <row r="73" spans="4:13">
      <c r="D73">
        <v>-0.2</v>
      </c>
      <c r="E73">
        <v>5.4</v>
      </c>
      <c r="F73">
        <v>0.999</v>
      </c>
      <c r="I73"/>
      <c r="J73"/>
      <c r="K73"/>
      <c r="M73"/>
    </row>
    <row r="74" spans="4:13">
      <c r="D74">
        <v>0</v>
      </c>
      <c r="E74">
        <v>5.5</v>
      </c>
      <c r="F74">
        <v>0.97099999999999997</v>
      </c>
      <c r="I74"/>
      <c r="J74"/>
      <c r="K74"/>
      <c r="M74"/>
    </row>
    <row r="75" spans="4:13">
      <c r="D75">
        <v>-1.5</v>
      </c>
      <c r="E75">
        <v>6.1</v>
      </c>
      <c r="F75">
        <v>0.999</v>
      </c>
      <c r="I75"/>
      <c r="J75"/>
      <c r="K75"/>
      <c r="M75"/>
    </row>
    <row r="76" spans="4:13">
      <c r="D76">
        <v>3</v>
      </c>
      <c r="E76">
        <v>6.3</v>
      </c>
      <c r="F76">
        <v>0.92799999999999994</v>
      </c>
      <c r="I76"/>
      <c r="J76"/>
      <c r="K76"/>
      <c r="M76"/>
    </row>
    <row r="77" spans="4:13">
      <c r="D77">
        <v>10</v>
      </c>
      <c r="E77">
        <v>6.4</v>
      </c>
      <c r="F77">
        <v>0.91900000000000004</v>
      </c>
      <c r="I77"/>
      <c r="J77"/>
      <c r="K77"/>
      <c r="M77"/>
    </row>
    <row r="78" spans="4:13">
      <c r="D78">
        <v>3</v>
      </c>
      <c r="E78">
        <v>6.8</v>
      </c>
      <c r="F78">
        <v>0.92799999999999994</v>
      </c>
      <c r="I78"/>
      <c r="J78"/>
      <c r="K78"/>
      <c r="M78"/>
    </row>
    <row r="79" spans="4:13">
      <c r="D79">
        <v>2</v>
      </c>
      <c r="E79">
        <v>6.9</v>
      </c>
      <c r="F79">
        <v>0.99900000000000011</v>
      </c>
      <c r="I79"/>
      <c r="J79"/>
      <c r="K79"/>
      <c r="M79"/>
    </row>
    <row r="80" spans="4:13">
      <c r="D80">
        <v>0</v>
      </c>
      <c r="E80">
        <v>7</v>
      </c>
      <c r="F80">
        <v>0.97099999999999997</v>
      </c>
      <c r="I80"/>
      <c r="J80"/>
      <c r="K80"/>
      <c r="M80"/>
    </row>
    <row r="81" spans="4:13">
      <c r="D81">
        <v>1</v>
      </c>
      <c r="E81">
        <v>7</v>
      </c>
      <c r="F81">
        <v>0.93500000000000005</v>
      </c>
      <c r="I81"/>
      <c r="J81"/>
      <c r="K81"/>
      <c r="M81"/>
    </row>
    <row r="82" spans="4:13">
      <c r="D82">
        <v>45</v>
      </c>
      <c r="E82">
        <v>7</v>
      </c>
      <c r="F82">
        <v>0.999</v>
      </c>
      <c r="I82"/>
      <c r="J82"/>
      <c r="K82"/>
      <c r="M82"/>
    </row>
    <row r="83" spans="4:13">
      <c r="D83">
        <v>5</v>
      </c>
      <c r="E83">
        <v>8.9</v>
      </c>
      <c r="F83">
        <v>0.999</v>
      </c>
      <c r="I83"/>
      <c r="J83"/>
      <c r="K83"/>
      <c r="M83"/>
    </row>
    <row r="84" spans="4:13">
      <c r="D84">
        <v>30</v>
      </c>
      <c r="E84">
        <v>9.1999999999999993</v>
      </c>
      <c r="F84">
        <v>0.999</v>
      </c>
      <c r="I84"/>
      <c r="J84"/>
      <c r="K84"/>
      <c r="M84"/>
    </row>
    <row r="85" spans="4:13">
      <c r="D85"/>
      <c r="E85"/>
      <c r="F85"/>
      <c r="I85"/>
      <c r="J85"/>
      <c r="K85"/>
    </row>
    <row r="86" spans="4:13">
      <c r="D86" s="2" t="s">
        <v>236</v>
      </c>
    </row>
    <row r="87" spans="4:13">
      <c r="D87">
        <v>0</v>
      </c>
      <c r="E87">
        <v>9.1999999999999993</v>
      </c>
      <c r="F87">
        <v>0.95700000000000007</v>
      </c>
    </row>
    <row r="88" spans="4:13">
      <c r="D88">
        <v>47</v>
      </c>
      <c r="E88">
        <v>8.8000000000000007</v>
      </c>
      <c r="F88">
        <v>0.995</v>
      </c>
    </row>
    <row r="89" spans="4:13">
      <c r="D89">
        <v>-5</v>
      </c>
      <c r="E89">
        <v>3.5</v>
      </c>
      <c r="F89">
        <v>1</v>
      </c>
    </row>
    <row r="90" spans="4:13">
      <c r="D90">
        <v>-5</v>
      </c>
      <c r="E90">
        <v>3.5</v>
      </c>
      <c r="F90">
        <v>0.9</v>
      </c>
    </row>
    <row r="91" spans="4:13">
      <c r="D91">
        <v>-5</v>
      </c>
      <c r="E91">
        <v>11</v>
      </c>
      <c r="F91">
        <v>1</v>
      </c>
    </row>
    <row r="92" spans="4:13">
      <c r="D92">
        <v>50</v>
      </c>
      <c r="E92">
        <v>3.5</v>
      </c>
      <c r="F92">
        <v>1</v>
      </c>
    </row>
    <row r="93" spans="4:13">
      <c r="D93">
        <v>50</v>
      </c>
      <c r="E93">
        <v>11</v>
      </c>
      <c r="F93">
        <v>0.9</v>
      </c>
    </row>
    <row r="94" spans="4:13">
      <c r="D94"/>
      <c r="E94"/>
      <c r="F94"/>
    </row>
    <row r="95" spans="4:13">
      <c r="D95" s="124" t="s">
        <v>237</v>
      </c>
    </row>
    <row r="96" spans="4:13">
      <c r="D96">
        <v>5</v>
      </c>
      <c r="E96">
        <v>7.4</v>
      </c>
      <c r="F96">
        <v>0.95</v>
      </c>
    </row>
    <row r="97" spans="4:6">
      <c r="D97">
        <v>30</v>
      </c>
      <c r="E97">
        <v>5.3</v>
      </c>
      <c r="F97">
        <v>0.96399999999999997</v>
      </c>
    </row>
    <row r="98" spans="4:6">
      <c r="D98">
        <v>30</v>
      </c>
      <c r="E98">
        <v>6.7</v>
      </c>
      <c r="F98">
        <v>0.96399999999999997</v>
      </c>
    </row>
    <row r="99" spans="4:6">
      <c r="D99">
        <v>25</v>
      </c>
      <c r="E99">
        <v>4.9000000000000004</v>
      </c>
      <c r="F99">
        <v>0.95699999999999996</v>
      </c>
    </row>
    <row r="100" spans="4:6">
      <c r="D100">
        <v>10</v>
      </c>
      <c r="E100">
        <v>4.5999999999999996</v>
      </c>
      <c r="F100">
        <v>0.97699999999999998</v>
      </c>
    </row>
    <row r="101" spans="4:6">
      <c r="D101">
        <v>25</v>
      </c>
      <c r="E101">
        <v>7.4</v>
      </c>
      <c r="F101">
        <v>0.95</v>
      </c>
    </row>
    <row r="102" spans="4:6">
      <c r="D102">
        <v>10</v>
      </c>
      <c r="E102">
        <v>6.4</v>
      </c>
      <c r="F102">
        <v>0.92400000000000004</v>
      </c>
    </row>
    <row r="103" spans="4:6">
      <c r="D103">
        <v>1</v>
      </c>
      <c r="E103">
        <v>6.9</v>
      </c>
      <c r="F103">
        <v>0.999</v>
      </c>
    </row>
    <row r="104" spans="4:6">
      <c r="D104">
        <v>1</v>
      </c>
      <c r="E104">
        <v>6.9</v>
      </c>
      <c r="F104">
        <v>0.97399999999999998</v>
      </c>
    </row>
    <row r="105" spans="4:6">
      <c r="D105">
        <v>3</v>
      </c>
      <c r="E105">
        <v>6.3</v>
      </c>
      <c r="F105">
        <v>0.93100000000000005</v>
      </c>
    </row>
    <row r="106" spans="4:6">
      <c r="D106">
        <v>3</v>
      </c>
      <c r="E106">
        <v>6.8</v>
      </c>
      <c r="F106">
        <v>0.93100000000000005</v>
      </c>
    </row>
    <row r="107" spans="4:6">
      <c r="D107">
        <v>10</v>
      </c>
      <c r="E107">
        <v>5.0999999999999996</v>
      </c>
      <c r="F107">
        <v>0.93100000000000005</v>
      </c>
    </row>
    <row r="108" spans="4:6">
      <c r="D108">
        <v>10</v>
      </c>
      <c r="E108">
        <v>5.5</v>
      </c>
      <c r="F108">
        <v>0.92400000000000004</v>
      </c>
    </row>
    <row r="109" spans="4:6">
      <c r="D109">
        <v>2</v>
      </c>
      <c r="E109">
        <v>4.5</v>
      </c>
      <c r="F109">
        <v>0.999</v>
      </c>
    </row>
    <row r="110" spans="4:6">
      <c r="D110">
        <v>20</v>
      </c>
      <c r="E110">
        <v>4.3</v>
      </c>
      <c r="F110">
        <v>0.999</v>
      </c>
    </row>
    <row r="111" spans="4:6">
      <c r="D111">
        <v>20</v>
      </c>
      <c r="E111">
        <v>5</v>
      </c>
      <c r="F111">
        <v>0.93500000000000005</v>
      </c>
    </row>
    <row r="112" spans="4:6">
      <c r="D112">
        <v>2</v>
      </c>
      <c r="E112">
        <v>5.9</v>
      </c>
      <c r="F112">
        <v>1</v>
      </c>
    </row>
    <row r="113" spans="4:6">
      <c r="D113">
        <v>30</v>
      </c>
      <c r="E113">
        <v>4.8</v>
      </c>
      <c r="F113">
        <v>0.999</v>
      </c>
    </row>
    <row r="114" spans="4:6">
      <c r="D114">
        <v>30</v>
      </c>
      <c r="E114">
        <v>7.3</v>
      </c>
      <c r="F114">
        <v>0.999</v>
      </c>
    </row>
    <row r="115" spans="4:6">
      <c r="D115">
        <v>30</v>
      </c>
      <c r="E115">
        <v>4.7</v>
      </c>
      <c r="F115">
        <v>0.999</v>
      </c>
    </row>
    <row r="116" spans="4:6">
      <c r="D116">
        <v>21</v>
      </c>
      <c r="E116">
        <v>7</v>
      </c>
      <c r="F116">
        <v>0.92200000000000004</v>
      </c>
    </row>
    <row r="117" spans="4:6">
      <c r="D117">
        <v>28</v>
      </c>
      <c r="E117">
        <v>7</v>
      </c>
      <c r="F117">
        <v>0.93</v>
      </c>
    </row>
    <row r="118" spans="4:6">
      <c r="D118">
        <v>28</v>
      </c>
      <c r="E118">
        <v>7.5</v>
      </c>
      <c r="F118">
        <v>0.999</v>
      </c>
    </row>
    <row r="119" spans="4:6">
      <c r="D119">
        <v>5</v>
      </c>
      <c r="E119">
        <v>7.5</v>
      </c>
      <c r="F119">
        <v>0.999</v>
      </c>
    </row>
    <row r="120" spans="4:6">
      <c r="D120">
        <v>5</v>
      </c>
      <c r="E120">
        <v>7.5</v>
      </c>
      <c r="F120">
        <v>0.97399999999999998</v>
      </c>
    </row>
    <row r="121" spans="4:6">
      <c r="D121">
        <v>28</v>
      </c>
      <c r="E121">
        <v>7.5</v>
      </c>
      <c r="F121">
        <v>0.97399999999999998</v>
      </c>
    </row>
    <row r="122" spans="4:6">
      <c r="D122">
        <v>30</v>
      </c>
      <c r="E122">
        <v>7.2</v>
      </c>
      <c r="F122">
        <v>0.99</v>
      </c>
    </row>
    <row r="123" spans="4:6">
      <c r="D123">
        <v>-1.5</v>
      </c>
      <c r="E123">
        <v>6.1</v>
      </c>
      <c r="F123">
        <v>0.999</v>
      </c>
    </row>
    <row r="124" spans="4:6">
      <c r="D124">
        <v>0</v>
      </c>
      <c r="E124">
        <v>6.3</v>
      </c>
      <c r="F124">
        <v>0.96799999999999997</v>
      </c>
    </row>
    <row r="125" spans="4:6">
      <c r="D125">
        <v>0</v>
      </c>
      <c r="E125">
        <v>6.7</v>
      </c>
      <c r="F125">
        <v>0.999</v>
      </c>
    </row>
    <row r="126" spans="4:6">
      <c r="D126">
        <v>-0.2</v>
      </c>
      <c r="E126">
        <v>5.4</v>
      </c>
      <c r="F126">
        <v>0.999</v>
      </c>
    </row>
    <row r="127" spans="4:6">
      <c r="D127">
        <v>8</v>
      </c>
      <c r="E127">
        <v>7.4</v>
      </c>
      <c r="F127">
        <v>0.999</v>
      </c>
    </row>
    <row r="128" spans="4:6">
      <c r="D128">
        <v>2</v>
      </c>
      <c r="E128">
        <v>6.9</v>
      </c>
      <c r="F128">
        <v>0.999</v>
      </c>
    </row>
    <row r="129" spans="4:6">
      <c r="D129">
        <v>30</v>
      </c>
      <c r="E129">
        <v>6.2</v>
      </c>
      <c r="F129">
        <v>0.999</v>
      </c>
    </row>
  </sheetData>
  <phoneticPr fontId="0" type="noConversion"/>
  <printOptions gridLines="1" gridLinesSet="0"/>
  <pageMargins left="0.75" right="0.75" top="1" bottom="1" header="0.5" footer="0.5"/>
  <pageSetup paperSize="9" orientation="portrait" horizontalDpi="4294967292" r:id="rId1"/>
  <headerFooter alignWithMargins="0">
    <oddHeader>&amp;A</oddHeader>
    <oddFoote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148"/>
  <sheetViews>
    <sheetView workbookViewId="0">
      <selection activeCell="E28" sqref="E28"/>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Orgs!B14</f>
        <v>Listeria monocytogenes + CO_2</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EXP(-3.95)</f>
        <v>1.925470177538692E-2</v>
      </c>
      <c r="D3" s="30">
        <v>20</v>
      </c>
      <c r="E3" s="30">
        <v>7</v>
      </c>
      <c r="F3" s="32" t="s">
        <v>201</v>
      </c>
      <c r="G3" s="30">
        <v>0.5</v>
      </c>
      <c r="H3" s="30">
        <v>0</v>
      </c>
      <c r="I3" s="30"/>
      <c r="J3" s="30"/>
      <c r="K3" s="30"/>
      <c r="L3" s="30"/>
      <c r="M3" s="30"/>
      <c r="N3" s="30"/>
      <c r="O3" s="33"/>
    </row>
    <row r="4" spans="1:15">
      <c r="A4" s="29" t="s">
        <v>202</v>
      </c>
      <c r="B4" s="30"/>
      <c r="C4" s="34"/>
      <c r="D4" s="30">
        <v>1</v>
      </c>
      <c r="E4" s="30">
        <v>4.4000000000000004</v>
      </c>
      <c r="F4" s="30"/>
      <c r="G4" s="30">
        <v>0</v>
      </c>
      <c r="H4" s="30">
        <v>0</v>
      </c>
      <c r="I4" s="30"/>
      <c r="J4" s="30"/>
      <c r="K4" s="30"/>
      <c r="L4" s="30"/>
      <c r="M4" s="30"/>
      <c r="N4" s="30"/>
      <c r="O4" s="33"/>
    </row>
    <row r="5" spans="1:15" ht="13.5" thickBot="1">
      <c r="A5" s="35" t="s">
        <v>203</v>
      </c>
      <c r="B5" s="36"/>
      <c r="C5" s="37"/>
      <c r="D5" s="36">
        <v>35</v>
      </c>
      <c r="E5" s="36">
        <v>7.5</v>
      </c>
      <c r="F5" s="36"/>
      <c r="G5" s="36">
        <v>11.5</v>
      </c>
      <c r="H5" s="36">
        <v>100</v>
      </c>
      <c r="I5" s="36"/>
      <c r="J5" s="36"/>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240</v>
      </c>
      <c r="I8" s="36" t="s">
        <v>211</v>
      </c>
      <c r="J8" s="36" t="s">
        <v>211</v>
      </c>
      <c r="K8" s="36" t="s">
        <v>211</v>
      </c>
      <c r="L8" s="36" t="s">
        <v>211</v>
      </c>
      <c r="M8" s="36" t="s">
        <v>211</v>
      </c>
      <c r="N8" s="36" t="s">
        <v>211</v>
      </c>
      <c r="O8" s="38" t="s">
        <v>211</v>
      </c>
    </row>
    <row r="9" spans="1:15" ht="13.5" thickBot="1">
      <c r="A9" s="2" t="s">
        <v>212</v>
      </c>
      <c r="D9" s="2">
        <v>3</v>
      </c>
      <c r="E9" s="2">
        <v>1</v>
      </c>
      <c r="F9" s="2">
        <v>0.02</v>
      </c>
      <c r="H9" s="2">
        <v>50</v>
      </c>
    </row>
    <row r="10" spans="1:15" ht="14.25">
      <c r="A10" s="39"/>
      <c r="B10" s="53" t="s">
        <v>213</v>
      </c>
      <c r="C10" s="27"/>
      <c r="D10" s="27"/>
      <c r="E10" s="43"/>
      <c r="F10" s="43"/>
      <c r="G10" s="44"/>
      <c r="H10" s="56" t="s">
        <v>214</v>
      </c>
      <c r="I10" s="45"/>
    </row>
    <row r="11" spans="1:15">
      <c r="A11" s="29" t="s">
        <v>215</v>
      </c>
      <c r="B11" s="32">
        <v>0.3</v>
      </c>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amp;B24&amp;"*("&amp;C24&amp;")+"&amp;B25&amp;"*("&amp;C25&amp;")+"&amp;B26&amp;"*("&amp;C26&amp;")+"&amp;B27&amp;"*("&amp;C27&amp;")+"&amp;B28&amp;"*("&amp;C28&amp;"))"</f>
        <v xml:space="preserve"> =EXP(1*(-14.02)+tr*(0.2279)+pr*(2.784)+bw*(7.437)+tr*pr*(0.00696)+tr*bw*(-0.06091)+pr*bw*(0.3333)+tr^2*(-0.003908)+pr^2*(-0.2101)+bw^2*(-52.05)+Cr*(-0.007168)+tr*Cr*(0.000003978)+pr*Cr*(-0.0005928)+bw*Cr*(-0.001516)+Cr^2*(-0.000005831))</v>
      </c>
      <c r="C12" s="49"/>
      <c r="D12" s="50"/>
      <c r="E12" s="49"/>
      <c r="F12" s="50"/>
      <c r="G12" s="51"/>
      <c r="H12" s="36">
        <f>19.55/2.3</f>
        <v>8.5000000000000018</v>
      </c>
      <c r="I12" s="38"/>
    </row>
    <row r="14" spans="1:15">
      <c r="A14" s="1">
        <v>1</v>
      </c>
      <c r="B14" s="24">
        <v>1</v>
      </c>
      <c r="C14" s="54">
        <v>-14.02</v>
      </c>
    </row>
    <row r="15" spans="1:15">
      <c r="A15" s="1">
        <v>20</v>
      </c>
      <c r="B15" s="24" t="s">
        <v>45</v>
      </c>
      <c r="C15" s="54">
        <v>0.22789999999999999</v>
      </c>
    </row>
    <row r="16" spans="1:15">
      <c r="A16" s="1">
        <v>7</v>
      </c>
      <c r="B16" s="24" t="s">
        <v>46</v>
      </c>
      <c r="C16" s="54">
        <v>2.7839999999999998</v>
      </c>
    </row>
    <row r="17" spans="1:8">
      <c r="A17" s="1">
        <v>0.5</v>
      </c>
      <c r="B17" s="24" t="s">
        <v>47</v>
      </c>
      <c r="C17" s="54">
        <v>7.4370000000000003</v>
      </c>
    </row>
    <row r="18" spans="1:8">
      <c r="A18" s="1">
        <f>A$15*A$16</f>
        <v>140</v>
      </c>
      <c r="B18" s="24" t="s">
        <v>222</v>
      </c>
      <c r="C18" s="54">
        <v>6.96E-3</v>
      </c>
    </row>
    <row r="19" spans="1:8">
      <c r="A19" s="1">
        <f>A$15*A$17</f>
        <v>10</v>
      </c>
      <c r="B19" s="24" t="s">
        <v>225</v>
      </c>
      <c r="C19" s="54">
        <v>-6.0909999999999999E-2</v>
      </c>
    </row>
    <row r="20" spans="1:8">
      <c r="A20" s="1">
        <f>A$16*A$17</f>
        <v>3.5</v>
      </c>
      <c r="B20" s="24" t="s">
        <v>227</v>
      </c>
      <c r="C20" s="54">
        <v>0.33329999999999999</v>
      </c>
    </row>
    <row r="21" spans="1:8">
      <c r="A21" s="1">
        <f>A$15^2</f>
        <v>400</v>
      </c>
      <c r="B21" s="24" t="s">
        <v>229</v>
      </c>
      <c r="C21" s="54">
        <v>-3.908E-3</v>
      </c>
    </row>
    <row r="22" spans="1:8">
      <c r="A22" s="1">
        <f>A$16^2</f>
        <v>49</v>
      </c>
      <c r="B22" s="24" t="s">
        <v>231</v>
      </c>
      <c r="C22" s="54">
        <v>-0.21010000000000001</v>
      </c>
    </row>
    <row r="23" spans="1:8">
      <c r="A23" s="1">
        <f>A$17^2</f>
        <v>0.25</v>
      </c>
      <c r="B23" s="24" t="s">
        <v>233</v>
      </c>
      <c r="C23" s="54">
        <v>-52.05</v>
      </c>
    </row>
    <row r="24" spans="1:8">
      <c r="A24" s="1">
        <v>20</v>
      </c>
      <c r="B24" s="24" t="s">
        <v>49</v>
      </c>
      <c r="C24" s="54">
        <v>-7.1679999999999999E-3</v>
      </c>
    </row>
    <row r="25" spans="1:8">
      <c r="A25" s="1">
        <f>A$15*A$24</f>
        <v>400</v>
      </c>
      <c r="B25" s="24" t="s">
        <v>241</v>
      </c>
      <c r="C25" s="54">
        <v>3.9779999999999999E-6</v>
      </c>
    </row>
    <row r="26" spans="1:8">
      <c r="A26" s="1">
        <f>A$16*A$24</f>
        <v>140</v>
      </c>
      <c r="B26" s="24" t="s">
        <v>242</v>
      </c>
      <c r="C26" s="54">
        <v>-5.9279999999999999E-4</v>
      </c>
    </row>
    <row r="27" spans="1:8">
      <c r="A27" s="1">
        <f>A$17*A$24</f>
        <v>10</v>
      </c>
      <c r="B27" s="24" t="s">
        <v>243</v>
      </c>
      <c r="C27" s="54">
        <v>-1.516E-3</v>
      </c>
    </row>
    <row r="28" spans="1:8">
      <c r="A28" s="1">
        <f>A$24^2</f>
        <v>400</v>
      </c>
      <c r="B28" s="24" t="s">
        <v>244</v>
      </c>
      <c r="C28" s="54">
        <v>-5.8309999999999997E-6</v>
      </c>
    </row>
    <row r="30" spans="1:8">
      <c r="D30" s="124" t="s">
        <v>234</v>
      </c>
    </row>
    <row r="31" spans="1:8">
      <c r="D31">
        <v>5</v>
      </c>
      <c r="E31">
        <v>7.4</v>
      </c>
      <c r="F31">
        <v>0.999</v>
      </c>
      <c r="G31"/>
      <c r="H31">
        <v>0</v>
      </c>
    </row>
    <row r="32" spans="1:8">
      <c r="D32">
        <v>35</v>
      </c>
      <c r="E32">
        <v>6</v>
      </c>
      <c r="F32">
        <v>0.95</v>
      </c>
      <c r="G32"/>
      <c r="H32">
        <v>0</v>
      </c>
    </row>
    <row r="33" spans="4:8">
      <c r="D33">
        <v>25</v>
      </c>
      <c r="E33">
        <v>4.5999999999999996</v>
      </c>
      <c r="F33">
        <v>0.999</v>
      </c>
      <c r="G33"/>
      <c r="H33">
        <v>0</v>
      </c>
    </row>
    <row r="34" spans="4:8">
      <c r="D34">
        <v>25</v>
      </c>
      <c r="E34">
        <v>7.4</v>
      </c>
      <c r="F34">
        <v>0.999</v>
      </c>
      <c r="G34"/>
      <c r="H34">
        <v>0</v>
      </c>
    </row>
    <row r="35" spans="4:8">
      <c r="D35">
        <v>5</v>
      </c>
      <c r="E35">
        <v>7.4</v>
      </c>
      <c r="F35">
        <v>0.95</v>
      </c>
      <c r="G35"/>
      <c r="H35">
        <v>0</v>
      </c>
    </row>
    <row r="36" spans="4:8">
      <c r="D36">
        <v>35</v>
      </c>
      <c r="E36">
        <v>4.5999999999999996</v>
      </c>
      <c r="F36">
        <v>0.999</v>
      </c>
      <c r="G36"/>
      <c r="H36">
        <v>0</v>
      </c>
    </row>
    <row r="37" spans="4:8">
      <c r="D37">
        <v>35</v>
      </c>
      <c r="E37">
        <v>7.4</v>
      </c>
      <c r="F37">
        <v>0.999</v>
      </c>
      <c r="G37"/>
      <c r="H37">
        <v>0</v>
      </c>
    </row>
    <row r="38" spans="4:8">
      <c r="D38">
        <v>8</v>
      </c>
      <c r="E38">
        <v>4.5999999999999996</v>
      </c>
      <c r="F38">
        <v>0.999</v>
      </c>
      <c r="G38"/>
      <c r="H38">
        <v>0</v>
      </c>
    </row>
    <row r="39" spans="4:8">
      <c r="D39">
        <v>25</v>
      </c>
      <c r="E39">
        <v>4.9000000000000004</v>
      </c>
      <c r="F39">
        <v>0.95700000000000007</v>
      </c>
      <c r="G39"/>
      <c r="H39">
        <v>0</v>
      </c>
    </row>
    <row r="40" spans="4:8">
      <c r="D40">
        <v>35</v>
      </c>
      <c r="E40">
        <v>4.9000000000000004</v>
      </c>
      <c r="F40">
        <v>0.95700000000000007</v>
      </c>
      <c r="G40"/>
      <c r="H40">
        <v>0</v>
      </c>
    </row>
    <row r="41" spans="4:8">
      <c r="D41">
        <v>35</v>
      </c>
      <c r="E41">
        <v>7.4</v>
      </c>
      <c r="F41">
        <v>0.95</v>
      </c>
      <c r="G41"/>
      <c r="H41">
        <v>0</v>
      </c>
    </row>
    <row r="42" spans="4:8">
      <c r="D42">
        <v>10</v>
      </c>
      <c r="E42">
        <v>4.5</v>
      </c>
      <c r="F42">
        <v>0.999</v>
      </c>
      <c r="G42"/>
      <c r="H42">
        <v>0</v>
      </c>
    </row>
    <row r="43" spans="4:8">
      <c r="D43">
        <v>10</v>
      </c>
      <c r="E43">
        <v>4.5999999999999996</v>
      </c>
      <c r="F43">
        <v>0.97699999999999998</v>
      </c>
      <c r="G43"/>
      <c r="H43">
        <v>0</v>
      </c>
    </row>
    <row r="44" spans="4:8">
      <c r="D44">
        <v>10</v>
      </c>
      <c r="E44">
        <v>5.2</v>
      </c>
      <c r="F44">
        <v>0.95</v>
      </c>
      <c r="G44"/>
      <c r="H44">
        <v>0</v>
      </c>
    </row>
    <row r="45" spans="4:8">
      <c r="D45">
        <v>35</v>
      </c>
      <c r="E45">
        <v>4.5999999999999996</v>
      </c>
      <c r="F45">
        <v>0.97699999999999998</v>
      </c>
      <c r="G45"/>
      <c r="H45">
        <v>0</v>
      </c>
    </row>
    <row r="46" spans="4:8">
      <c r="D46">
        <v>4</v>
      </c>
      <c r="E46">
        <v>5</v>
      </c>
      <c r="F46">
        <v>0.999</v>
      </c>
      <c r="G46"/>
      <c r="H46">
        <v>0</v>
      </c>
    </row>
    <row r="47" spans="4:8">
      <c r="D47">
        <v>1</v>
      </c>
      <c r="E47">
        <v>5.6</v>
      </c>
      <c r="F47">
        <v>0.999</v>
      </c>
      <c r="G47"/>
      <c r="H47">
        <v>0</v>
      </c>
    </row>
    <row r="48" spans="4:8">
      <c r="D48">
        <v>1</v>
      </c>
      <c r="E48">
        <v>6.9</v>
      </c>
      <c r="F48">
        <v>0.999</v>
      </c>
      <c r="G48"/>
      <c r="H48">
        <v>0</v>
      </c>
    </row>
    <row r="49" spans="4:8">
      <c r="D49">
        <v>20</v>
      </c>
      <c r="E49">
        <v>4.4000000000000004</v>
      </c>
      <c r="F49">
        <v>0.999</v>
      </c>
      <c r="G49"/>
      <c r="H49">
        <v>0</v>
      </c>
    </row>
    <row r="50" spans="4:8">
      <c r="D50">
        <v>20</v>
      </c>
      <c r="E50">
        <v>7</v>
      </c>
      <c r="F50">
        <v>0.93500000000000005</v>
      </c>
      <c r="G50"/>
      <c r="H50">
        <v>0</v>
      </c>
    </row>
    <row r="51" spans="4:8">
      <c r="D51">
        <v>8</v>
      </c>
      <c r="E51">
        <v>7</v>
      </c>
      <c r="F51">
        <v>0.93500000000000005</v>
      </c>
      <c r="G51"/>
      <c r="H51">
        <v>0</v>
      </c>
    </row>
    <row r="52" spans="4:8">
      <c r="D52">
        <v>10</v>
      </c>
      <c r="E52">
        <v>6.4</v>
      </c>
      <c r="F52">
        <v>0.92400000000000004</v>
      </c>
      <c r="G52"/>
      <c r="H52">
        <v>0</v>
      </c>
    </row>
    <row r="53" spans="4:8">
      <c r="D53">
        <v>1</v>
      </c>
      <c r="E53">
        <v>6.9</v>
      </c>
      <c r="F53">
        <v>0.97400000000000009</v>
      </c>
      <c r="G53"/>
      <c r="H53">
        <v>0</v>
      </c>
    </row>
    <row r="54" spans="4:8">
      <c r="D54">
        <v>3</v>
      </c>
      <c r="E54">
        <v>6.3</v>
      </c>
      <c r="F54">
        <v>0.93099999999999994</v>
      </c>
      <c r="G54"/>
      <c r="H54">
        <v>0</v>
      </c>
    </row>
    <row r="55" spans="4:8">
      <c r="D55">
        <v>3</v>
      </c>
      <c r="E55">
        <v>6.8</v>
      </c>
      <c r="F55">
        <v>0.93099999999999994</v>
      </c>
      <c r="G55"/>
      <c r="H55">
        <v>0</v>
      </c>
    </row>
    <row r="56" spans="4:8">
      <c r="D56">
        <v>4</v>
      </c>
      <c r="E56">
        <v>5.5</v>
      </c>
      <c r="F56">
        <v>0.999</v>
      </c>
      <c r="G56"/>
      <c r="H56">
        <v>100</v>
      </c>
    </row>
    <row r="57" spans="4:8">
      <c r="D57">
        <v>4</v>
      </c>
      <c r="E57">
        <v>5.8</v>
      </c>
      <c r="F57">
        <v>0.999</v>
      </c>
      <c r="G57"/>
      <c r="H57">
        <v>100</v>
      </c>
    </row>
    <row r="58" spans="4:8">
      <c r="D58">
        <v>8</v>
      </c>
      <c r="E58">
        <v>6.5</v>
      </c>
      <c r="F58">
        <v>0.96400000000000008</v>
      </c>
      <c r="G58"/>
      <c r="H58">
        <v>100</v>
      </c>
    </row>
    <row r="59" spans="4:8">
      <c r="D59">
        <v>4</v>
      </c>
      <c r="E59">
        <v>6.8</v>
      </c>
      <c r="F59">
        <v>0.999</v>
      </c>
      <c r="G59"/>
      <c r="H59">
        <v>80</v>
      </c>
    </row>
    <row r="60" spans="4:8">
      <c r="D60">
        <v>4</v>
      </c>
      <c r="E60">
        <v>5.4</v>
      </c>
      <c r="F60">
        <v>0.9890000000000001</v>
      </c>
      <c r="G60"/>
      <c r="H60">
        <v>60</v>
      </c>
    </row>
    <row r="61" spans="4:8">
      <c r="D61">
        <v>8</v>
      </c>
      <c r="E61">
        <v>5.7</v>
      </c>
      <c r="F61">
        <v>0.96400000000000008</v>
      </c>
      <c r="G61"/>
      <c r="H61">
        <v>100</v>
      </c>
    </row>
    <row r="62" spans="4:8">
      <c r="D62">
        <v>12</v>
      </c>
      <c r="E62">
        <v>6.6</v>
      </c>
      <c r="F62">
        <v>0.95</v>
      </c>
      <c r="G62"/>
      <c r="H62">
        <v>100</v>
      </c>
    </row>
    <row r="63" spans="4:8">
      <c r="D63">
        <v>4</v>
      </c>
      <c r="E63">
        <v>5.6</v>
      </c>
      <c r="F63">
        <v>0.96400000000000008</v>
      </c>
      <c r="G63"/>
      <c r="H63">
        <v>25</v>
      </c>
    </row>
    <row r="64" spans="4:8">
      <c r="D64">
        <v>8</v>
      </c>
      <c r="E64">
        <v>6.6</v>
      </c>
      <c r="F64">
        <v>0.9890000000000001</v>
      </c>
      <c r="G64"/>
      <c r="H64">
        <v>100</v>
      </c>
    </row>
    <row r="65" spans="4:10">
      <c r="D65">
        <v>12</v>
      </c>
      <c r="E65">
        <v>5.0999999999999996</v>
      </c>
      <c r="F65">
        <v>0.97699999999999998</v>
      </c>
      <c r="G65"/>
      <c r="H65">
        <v>80</v>
      </c>
    </row>
    <row r="66" spans="4:10">
      <c r="D66">
        <v>5</v>
      </c>
      <c r="E66">
        <v>7</v>
      </c>
      <c r="F66">
        <v>0.99199999999999999</v>
      </c>
      <c r="G66"/>
      <c r="H66">
        <v>80</v>
      </c>
    </row>
    <row r="67" spans="4:10">
      <c r="D67">
        <v>12</v>
      </c>
      <c r="E67">
        <v>5</v>
      </c>
      <c r="F67">
        <v>0.999</v>
      </c>
      <c r="G67"/>
      <c r="H67">
        <v>100</v>
      </c>
    </row>
    <row r="68" spans="4:10">
      <c r="D68">
        <v>8</v>
      </c>
      <c r="E68">
        <v>5.8</v>
      </c>
      <c r="F68">
        <v>0.95</v>
      </c>
      <c r="G68"/>
      <c r="H68">
        <v>50</v>
      </c>
    </row>
    <row r="69" spans="4:10">
      <c r="D69">
        <v>20</v>
      </c>
      <c r="E69">
        <v>6.6</v>
      </c>
      <c r="F69">
        <v>0.95</v>
      </c>
      <c r="G69"/>
      <c r="H69">
        <v>100</v>
      </c>
    </row>
    <row r="70" spans="4:10">
      <c r="D70">
        <v>20</v>
      </c>
      <c r="E70">
        <v>5.0999999999999996</v>
      </c>
      <c r="F70">
        <v>0.97699999999999998</v>
      </c>
      <c r="G70"/>
      <c r="H70">
        <v>100</v>
      </c>
    </row>
    <row r="71" spans="4:10">
      <c r="D71">
        <v>12</v>
      </c>
      <c r="E71">
        <v>6.7</v>
      </c>
      <c r="F71">
        <v>0.999</v>
      </c>
      <c r="G71"/>
      <c r="H71">
        <v>100</v>
      </c>
    </row>
    <row r="72" spans="4:10">
      <c r="D72">
        <v>20</v>
      </c>
      <c r="E72">
        <v>6.8</v>
      </c>
      <c r="F72">
        <v>0.95</v>
      </c>
      <c r="G72"/>
      <c r="H72">
        <v>80</v>
      </c>
    </row>
    <row r="73" spans="4:10">
      <c r="D73">
        <v>20</v>
      </c>
      <c r="E73">
        <v>5</v>
      </c>
      <c r="F73">
        <v>0.999</v>
      </c>
      <c r="G73"/>
      <c r="H73">
        <v>100</v>
      </c>
    </row>
    <row r="74" spans="4:10">
      <c r="D74">
        <v>25</v>
      </c>
      <c r="E74">
        <v>4.5</v>
      </c>
      <c r="F74">
        <v>0.999</v>
      </c>
      <c r="G74"/>
      <c r="H74">
        <v>30</v>
      </c>
    </row>
    <row r="75" spans="4:10">
      <c r="D75">
        <v>25</v>
      </c>
      <c r="E75">
        <v>6.9</v>
      </c>
      <c r="F75">
        <v>0.97400000000000009</v>
      </c>
      <c r="G75"/>
      <c r="H75">
        <v>80</v>
      </c>
    </row>
    <row r="76" spans="4:10">
      <c r="D76">
        <v>20</v>
      </c>
      <c r="E76">
        <v>6.8</v>
      </c>
      <c r="F76">
        <v>0.999</v>
      </c>
      <c r="G76"/>
      <c r="H76">
        <v>80</v>
      </c>
    </row>
    <row r="77" spans="4:10">
      <c r="D77"/>
      <c r="E77"/>
      <c r="F77" s="127"/>
      <c r="G77"/>
      <c r="H77"/>
    </row>
    <row r="78" spans="4:10">
      <c r="D78" s="2" t="s">
        <v>235</v>
      </c>
    </row>
    <row r="79" spans="4:10">
      <c r="D79">
        <v>4</v>
      </c>
      <c r="E79">
        <v>7</v>
      </c>
      <c r="F79">
        <v>0.999</v>
      </c>
      <c r="H79">
        <v>100</v>
      </c>
      <c r="I79"/>
      <c r="J79"/>
    </row>
    <row r="80" spans="4:10">
      <c r="D80">
        <v>37</v>
      </c>
      <c r="E80">
        <v>5.7</v>
      </c>
      <c r="F80">
        <v>0.96400000000000008</v>
      </c>
      <c r="H80">
        <v>100</v>
      </c>
      <c r="I80"/>
      <c r="J80"/>
    </row>
    <row r="81" spans="4:10">
      <c r="D81">
        <v>8</v>
      </c>
      <c r="E81">
        <v>7</v>
      </c>
      <c r="F81">
        <v>0.96400000000000008</v>
      </c>
      <c r="H81">
        <v>100</v>
      </c>
      <c r="I81"/>
      <c r="J81"/>
    </row>
    <row r="82" spans="4:10">
      <c r="D82">
        <v>12</v>
      </c>
      <c r="E82">
        <v>7</v>
      </c>
      <c r="F82">
        <v>0.95</v>
      </c>
      <c r="H82">
        <v>100</v>
      </c>
      <c r="I82"/>
      <c r="J82"/>
    </row>
    <row r="83" spans="4:10">
      <c r="D83">
        <v>37</v>
      </c>
      <c r="E83">
        <v>6.6</v>
      </c>
      <c r="F83">
        <v>0.95</v>
      </c>
      <c r="H83">
        <v>100</v>
      </c>
      <c r="I83"/>
      <c r="J83"/>
    </row>
    <row r="84" spans="4:10">
      <c r="D84">
        <v>37</v>
      </c>
      <c r="E84">
        <v>7</v>
      </c>
      <c r="F84">
        <v>0.95</v>
      </c>
      <c r="H84">
        <v>100</v>
      </c>
      <c r="I84"/>
      <c r="J84"/>
    </row>
    <row r="85" spans="4:10">
      <c r="D85">
        <v>37</v>
      </c>
      <c r="E85">
        <v>5.0999999999999996</v>
      </c>
      <c r="F85">
        <v>0.97699999999999998</v>
      </c>
      <c r="H85">
        <v>100</v>
      </c>
      <c r="I85"/>
      <c r="J85"/>
    </row>
    <row r="86" spans="4:10">
      <c r="D86">
        <v>37</v>
      </c>
      <c r="E86">
        <v>7</v>
      </c>
      <c r="F86">
        <v>0.999</v>
      </c>
      <c r="H86">
        <v>100</v>
      </c>
      <c r="I86"/>
      <c r="J86"/>
    </row>
    <row r="87" spans="4:10">
      <c r="D87">
        <v>37</v>
      </c>
      <c r="E87">
        <v>5</v>
      </c>
      <c r="F87">
        <v>0.999</v>
      </c>
      <c r="H87">
        <v>100</v>
      </c>
      <c r="I87"/>
      <c r="J87"/>
    </row>
    <row r="88" spans="4:10">
      <c r="D88">
        <v>37</v>
      </c>
      <c r="E88">
        <v>4.5</v>
      </c>
      <c r="F88">
        <v>0.999</v>
      </c>
      <c r="H88">
        <v>30</v>
      </c>
      <c r="I88"/>
      <c r="J88"/>
    </row>
    <row r="89" spans="4:10">
      <c r="D89">
        <v>1</v>
      </c>
      <c r="E89">
        <v>5.79</v>
      </c>
      <c r="F89">
        <v>0.999</v>
      </c>
      <c r="H89">
        <v>78.5</v>
      </c>
      <c r="I89"/>
      <c r="J89"/>
    </row>
    <row r="90" spans="4:10">
      <c r="D90">
        <v>1.5</v>
      </c>
      <c r="E90">
        <v>7</v>
      </c>
      <c r="F90">
        <v>0.99730000000000008</v>
      </c>
      <c r="H90">
        <v>80</v>
      </c>
      <c r="I90"/>
      <c r="J90"/>
    </row>
    <row r="91" spans="4:10">
      <c r="D91">
        <v>4</v>
      </c>
      <c r="E91">
        <v>4.9000000000000004</v>
      </c>
      <c r="F91">
        <v>0.9890000000000001</v>
      </c>
      <c r="H91">
        <v>60</v>
      </c>
      <c r="I91"/>
      <c r="J91"/>
    </row>
    <row r="92" spans="4:10">
      <c r="D92">
        <v>4</v>
      </c>
      <c r="E92">
        <v>6.6</v>
      </c>
      <c r="F92">
        <v>0.97699999999999998</v>
      </c>
      <c r="H92">
        <v>100</v>
      </c>
      <c r="I92"/>
      <c r="J92"/>
    </row>
    <row r="93" spans="4:10">
      <c r="D93">
        <v>0</v>
      </c>
      <c r="E93">
        <v>6.8</v>
      </c>
      <c r="F93">
        <v>0.97400000000000009</v>
      </c>
      <c r="H93">
        <v>30</v>
      </c>
      <c r="I93"/>
      <c r="J93"/>
    </row>
    <row r="94" spans="4:10">
      <c r="D94">
        <v>12</v>
      </c>
      <c r="E94">
        <v>5</v>
      </c>
      <c r="F94">
        <v>0.95</v>
      </c>
      <c r="H94">
        <v>60</v>
      </c>
      <c r="I94"/>
      <c r="J94"/>
    </row>
    <row r="95" spans="4:10">
      <c r="D95">
        <v>0</v>
      </c>
      <c r="E95">
        <v>6.4</v>
      </c>
      <c r="F95">
        <v>0.999</v>
      </c>
      <c r="H95">
        <v>80</v>
      </c>
      <c r="I95"/>
      <c r="J95"/>
    </row>
    <row r="96" spans="4:10">
      <c r="D96">
        <v>-0.2</v>
      </c>
      <c r="E96">
        <v>5.4</v>
      </c>
      <c r="F96">
        <v>0.999</v>
      </c>
      <c r="H96">
        <v>20</v>
      </c>
      <c r="I96"/>
      <c r="J96"/>
    </row>
    <row r="97" spans="4:10">
      <c r="D97">
        <v>3</v>
      </c>
      <c r="E97">
        <v>6.1</v>
      </c>
      <c r="F97">
        <v>0.999</v>
      </c>
      <c r="H97">
        <v>100</v>
      </c>
      <c r="I97"/>
      <c r="J97"/>
    </row>
    <row r="98" spans="4:10">
      <c r="D98">
        <v>20</v>
      </c>
      <c r="E98">
        <v>5.0999999999999996</v>
      </c>
      <c r="F98">
        <v>0.97699999999999998</v>
      </c>
      <c r="H98">
        <v>100</v>
      </c>
      <c r="I98"/>
      <c r="J98"/>
    </row>
    <row r="99" spans="4:10">
      <c r="D99">
        <v>8</v>
      </c>
      <c r="E99">
        <v>5.7</v>
      </c>
      <c r="F99">
        <v>0.96400000000000008</v>
      </c>
      <c r="H99">
        <v>100</v>
      </c>
      <c r="I99"/>
      <c r="J99"/>
    </row>
    <row r="100" spans="4:10">
      <c r="D100">
        <v>12</v>
      </c>
      <c r="E100">
        <v>5.6</v>
      </c>
      <c r="F100">
        <v>0.96400000000000008</v>
      </c>
      <c r="H100">
        <v>100</v>
      </c>
      <c r="I100"/>
      <c r="J100"/>
    </row>
    <row r="101" spans="4:10">
      <c r="D101">
        <v>4</v>
      </c>
      <c r="E101">
        <v>5.8</v>
      </c>
      <c r="F101">
        <v>0.95</v>
      </c>
      <c r="H101">
        <v>50</v>
      </c>
      <c r="I101"/>
      <c r="J101"/>
    </row>
    <row r="102" spans="4:10">
      <c r="D102">
        <v>12</v>
      </c>
      <c r="E102">
        <v>6.6</v>
      </c>
      <c r="F102">
        <v>0.95</v>
      </c>
      <c r="H102">
        <v>100</v>
      </c>
      <c r="I102"/>
      <c r="J102"/>
    </row>
    <row r="103" spans="4:10">
      <c r="D103">
        <v>25</v>
      </c>
      <c r="E103">
        <v>4.5</v>
      </c>
      <c r="F103">
        <v>0.999</v>
      </c>
      <c r="H103">
        <v>30</v>
      </c>
      <c r="I103"/>
      <c r="J103"/>
    </row>
    <row r="104" spans="4:10">
      <c r="D104">
        <v>4</v>
      </c>
      <c r="E104">
        <v>5.5</v>
      </c>
      <c r="F104">
        <v>0.999</v>
      </c>
      <c r="H104">
        <v>100</v>
      </c>
      <c r="I104"/>
      <c r="J104"/>
    </row>
    <row r="105" spans="4:10">
      <c r="D105">
        <v>12</v>
      </c>
      <c r="E105">
        <v>5</v>
      </c>
      <c r="F105">
        <v>0.999</v>
      </c>
      <c r="H105">
        <v>100</v>
      </c>
      <c r="I105"/>
      <c r="J105"/>
    </row>
    <row r="106" spans="4:10">
      <c r="D106">
        <v>20</v>
      </c>
      <c r="E106">
        <v>4.3</v>
      </c>
      <c r="F106">
        <v>0.999</v>
      </c>
      <c r="H106">
        <v>0</v>
      </c>
      <c r="I106"/>
      <c r="J106"/>
    </row>
    <row r="107" spans="4:10">
      <c r="D107">
        <v>10</v>
      </c>
      <c r="E107">
        <v>4.5</v>
      </c>
      <c r="F107">
        <v>0.97099999999999997</v>
      </c>
      <c r="H107">
        <v>0</v>
      </c>
      <c r="I107"/>
      <c r="J107"/>
    </row>
    <row r="108" spans="4:10">
      <c r="D108">
        <v>20</v>
      </c>
      <c r="E108">
        <v>4.5</v>
      </c>
      <c r="F108">
        <v>0.93500000000000005</v>
      </c>
      <c r="H108">
        <v>0</v>
      </c>
      <c r="I108"/>
      <c r="J108"/>
    </row>
    <row r="109" spans="4:10">
      <c r="D109">
        <v>8</v>
      </c>
      <c r="E109">
        <v>4.5</v>
      </c>
      <c r="F109">
        <v>0.999</v>
      </c>
      <c r="H109">
        <v>0</v>
      </c>
      <c r="I109"/>
      <c r="J109"/>
    </row>
    <row r="110" spans="4:10">
      <c r="D110">
        <v>4</v>
      </c>
      <c r="E110">
        <v>4.7</v>
      </c>
      <c r="F110">
        <v>0.999</v>
      </c>
      <c r="H110">
        <v>0</v>
      </c>
      <c r="I110"/>
      <c r="J110"/>
    </row>
    <row r="111" spans="4:10">
      <c r="D111">
        <v>3</v>
      </c>
      <c r="E111">
        <v>4.9000000000000004</v>
      </c>
      <c r="F111">
        <v>0.98599999999999999</v>
      </c>
      <c r="H111">
        <v>0</v>
      </c>
      <c r="I111"/>
      <c r="J111"/>
    </row>
    <row r="112" spans="4:10">
      <c r="D112">
        <v>10</v>
      </c>
      <c r="E112">
        <v>5</v>
      </c>
      <c r="F112">
        <v>0.93500000000000005</v>
      </c>
      <c r="H112">
        <v>0</v>
      </c>
      <c r="I112"/>
      <c r="J112"/>
    </row>
    <row r="113" spans="4:10">
      <c r="D113">
        <v>-0.2</v>
      </c>
      <c r="E113">
        <v>5.4</v>
      </c>
      <c r="F113">
        <v>0.999</v>
      </c>
      <c r="H113">
        <v>0</v>
      </c>
      <c r="I113"/>
      <c r="J113"/>
    </row>
    <row r="114" spans="4:10">
      <c r="D114">
        <v>0</v>
      </c>
      <c r="E114">
        <v>5.5</v>
      </c>
      <c r="F114">
        <v>0.97099999999999997</v>
      </c>
      <c r="H114">
        <v>0</v>
      </c>
      <c r="I114"/>
      <c r="J114"/>
    </row>
    <row r="115" spans="4:10">
      <c r="D115">
        <v>-1.5</v>
      </c>
      <c r="E115">
        <v>6.1</v>
      </c>
      <c r="F115">
        <v>0.999</v>
      </c>
      <c r="H115">
        <v>0</v>
      </c>
      <c r="I115"/>
      <c r="J115"/>
    </row>
    <row r="116" spans="4:10">
      <c r="D116">
        <v>3</v>
      </c>
      <c r="E116">
        <v>6.3</v>
      </c>
      <c r="F116">
        <v>0.92799999999999994</v>
      </c>
      <c r="H116">
        <v>0</v>
      </c>
      <c r="I116"/>
      <c r="J116"/>
    </row>
    <row r="117" spans="4:10">
      <c r="D117">
        <v>10</v>
      </c>
      <c r="E117">
        <v>6.4</v>
      </c>
      <c r="F117">
        <v>0.91900000000000004</v>
      </c>
      <c r="H117">
        <v>0</v>
      </c>
      <c r="I117"/>
      <c r="J117"/>
    </row>
    <row r="118" spans="4:10">
      <c r="D118">
        <v>3</v>
      </c>
      <c r="E118">
        <v>6.8</v>
      </c>
      <c r="F118">
        <v>0.92799999999999994</v>
      </c>
      <c r="H118">
        <v>0</v>
      </c>
      <c r="I118"/>
      <c r="J118"/>
    </row>
    <row r="119" spans="4:10">
      <c r="D119">
        <v>2</v>
      </c>
      <c r="E119">
        <v>6.9</v>
      </c>
      <c r="F119">
        <v>0.99900000000000011</v>
      </c>
      <c r="H119">
        <v>0</v>
      </c>
      <c r="I119"/>
      <c r="J119"/>
    </row>
    <row r="120" spans="4:10">
      <c r="D120">
        <v>0</v>
      </c>
      <c r="E120">
        <v>7</v>
      </c>
      <c r="F120">
        <v>0.97099999999999997</v>
      </c>
      <c r="H120">
        <v>0</v>
      </c>
      <c r="I120"/>
      <c r="J120"/>
    </row>
    <row r="121" spans="4:10">
      <c r="D121">
        <v>1</v>
      </c>
      <c r="E121">
        <v>7</v>
      </c>
      <c r="F121">
        <v>0.93500000000000005</v>
      </c>
      <c r="H121">
        <v>0</v>
      </c>
      <c r="I121"/>
      <c r="J121"/>
    </row>
    <row r="122" spans="4:10">
      <c r="D122">
        <v>45</v>
      </c>
      <c r="E122">
        <v>7</v>
      </c>
      <c r="F122">
        <v>0.999</v>
      </c>
      <c r="H122">
        <v>0</v>
      </c>
      <c r="I122"/>
      <c r="J122"/>
    </row>
    <row r="123" spans="4:10">
      <c r="D123">
        <v>5</v>
      </c>
      <c r="E123">
        <v>8.9</v>
      </c>
      <c r="F123">
        <v>0.999</v>
      </c>
      <c r="H123">
        <v>0</v>
      </c>
      <c r="I123"/>
      <c r="J123"/>
    </row>
    <row r="124" spans="4:10">
      <c r="D124">
        <v>37</v>
      </c>
      <c r="E124">
        <v>4.9000000000000004</v>
      </c>
      <c r="F124">
        <v>0.95700000000000007</v>
      </c>
      <c r="H124">
        <v>0</v>
      </c>
      <c r="I124"/>
      <c r="J124"/>
    </row>
    <row r="125" spans="4:10">
      <c r="D125">
        <v>37</v>
      </c>
      <c r="E125">
        <v>7.4</v>
      </c>
      <c r="F125">
        <v>0.999</v>
      </c>
      <c r="H125">
        <v>0</v>
      </c>
      <c r="I125"/>
      <c r="J125"/>
    </row>
    <row r="126" spans="4:10">
      <c r="D126">
        <v>37</v>
      </c>
      <c r="E126">
        <v>7.4</v>
      </c>
      <c r="F126">
        <v>0.95</v>
      </c>
      <c r="H126">
        <v>0</v>
      </c>
      <c r="I126"/>
      <c r="J126"/>
    </row>
    <row r="127" spans="4:10">
      <c r="D127">
        <v>37</v>
      </c>
      <c r="E127">
        <v>4.5999999999999996</v>
      </c>
      <c r="F127">
        <v>0.97699999999999998</v>
      </c>
      <c r="H127">
        <v>0</v>
      </c>
      <c r="I127"/>
      <c r="J127"/>
    </row>
    <row r="128" spans="4:10">
      <c r="D128">
        <v>37</v>
      </c>
      <c r="E128">
        <v>4.4000000000000004</v>
      </c>
      <c r="F128">
        <v>0.999</v>
      </c>
      <c r="H128">
        <v>0</v>
      </c>
      <c r="I128"/>
      <c r="J128"/>
    </row>
    <row r="129" spans="4:13">
      <c r="D129">
        <v>10</v>
      </c>
      <c r="E129">
        <v>7</v>
      </c>
      <c r="F129">
        <v>0.92400000000000004</v>
      </c>
      <c r="H129">
        <v>0</v>
      </c>
      <c r="I129"/>
      <c r="J129"/>
    </row>
    <row r="130" spans="4:13">
      <c r="D130">
        <v>37</v>
      </c>
      <c r="E130">
        <v>6.4</v>
      </c>
      <c r="F130">
        <v>0.92400000000000004</v>
      </c>
      <c r="H130">
        <v>0</v>
      </c>
    </row>
    <row r="131" spans="4:13">
      <c r="D131">
        <v>37</v>
      </c>
      <c r="E131">
        <v>7</v>
      </c>
      <c r="F131">
        <v>0.92400000000000004</v>
      </c>
      <c r="H131">
        <v>0</v>
      </c>
    </row>
    <row r="132" spans="4:13">
      <c r="D132">
        <v>3</v>
      </c>
      <c r="E132">
        <v>7</v>
      </c>
      <c r="F132">
        <v>0.93099999999999994</v>
      </c>
      <c r="H132">
        <v>0</v>
      </c>
      <c r="I132"/>
      <c r="J132"/>
    </row>
    <row r="133" spans="4:13">
      <c r="I133"/>
      <c r="J133"/>
    </row>
    <row r="134" spans="4:13">
      <c r="I134"/>
      <c r="J134"/>
    </row>
    <row r="135" spans="4:13">
      <c r="D135" s="2" t="s">
        <v>236</v>
      </c>
      <c r="I135"/>
      <c r="J135"/>
    </row>
    <row r="136" spans="4:13">
      <c r="D136">
        <v>3.8</v>
      </c>
      <c r="E136">
        <v>6.4</v>
      </c>
      <c r="F136">
        <v>0.999</v>
      </c>
      <c r="G136"/>
      <c r="H136">
        <v>100</v>
      </c>
      <c r="I136"/>
      <c r="J136"/>
    </row>
    <row r="137" spans="4:13">
      <c r="D137">
        <v>-5</v>
      </c>
      <c r="E137">
        <v>3.5</v>
      </c>
      <c r="F137">
        <v>1</v>
      </c>
      <c r="G137"/>
      <c r="H137">
        <v>100</v>
      </c>
      <c r="I137"/>
      <c r="J137"/>
    </row>
    <row r="138" spans="4:13">
      <c r="D138">
        <v>-5</v>
      </c>
      <c r="E138">
        <v>11</v>
      </c>
      <c r="F138">
        <v>0.9</v>
      </c>
      <c r="G138"/>
      <c r="H138">
        <v>100</v>
      </c>
      <c r="I138"/>
      <c r="J138"/>
    </row>
    <row r="139" spans="4:13">
      <c r="D139">
        <v>50</v>
      </c>
      <c r="E139">
        <v>3.5</v>
      </c>
      <c r="F139">
        <v>1</v>
      </c>
      <c r="G139"/>
      <c r="H139">
        <v>100</v>
      </c>
      <c r="I139"/>
      <c r="J139"/>
    </row>
    <row r="140" spans="4:13">
      <c r="D140">
        <v>50</v>
      </c>
      <c r="E140">
        <v>3.5</v>
      </c>
      <c r="F140">
        <v>0.9</v>
      </c>
      <c r="G140"/>
      <c r="H140">
        <v>100</v>
      </c>
      <c r="I140"/>
      <c r="J140"/>
    </row>
    <row r="141" spans="4:13">
      <c r="D141">
        <v>50</v>
      </c>
      <c r="E141">
        <v>11</v>
      </c>
      <c r="F141">
        <v>1</v>
      </c>
      <c r="G141"/>
      <c r="H141">
        <v>100</v>
      </c>
      <c r="I141"/>
      <c r="J141"/>
    </row>
    <row r="142" spans="4:13">
      <c r="D142">
        <v>0</v>
      </c>
      <c r="E142">
        <v>9.1999999999999993</v>
      </c>
      <c r="F142">
        <v>0.95700000000000007</v>
      </c>
      <c r="G142"/>
      <c r="H142">
        <v>0</v>
      </c>
      <c r="I142"/>
      <c r="J142"/>
      <c r="K142"/>
      <c r="L142"/>
      <c r="M142"/>
    </row>
    <row r="143" spans="4:13">
      <c r="D143">
        <v>47</v>
      </c>
      <c r="E143">
        <v>8.8000000000000007</v>
      </c>
      <c r="F143">
        <v>0.995</v>
      </c>
      <c r="G143"/>
      <c r="H143">
        <v>0</v>
      </c>
      <c r="I143"/>
      <c r="J143"/>
      <c r="K143"/>
      <c r="L143"/>
      <c r="M143"/>
    </row>
    <row r="144" spans="4:13">
      <c r="D144">
        <v>-5</v>
      </c>
      <c r="E144">
        <v>3.5</v>
      </c>
      <c r="F144">
        <v>1</v>
      </c>
      <c r="G144"/>
      <c r="H144">
        <v>0</v>
      </c>
      <c r="I144"/>
      <c r="J144"/>
      <c r="K144"/>
      <c r="L144"/>
      <c r="M144"/>
    </row>
    <row r="145" spans="4:8">
      <c r="D145">
        <v>-5</v>
      </c>
      <c r="E145">
        <v>3.5</v>
      </c>
      <c r="F145">
        <v>0.9</v>
      </c>
      <c r="G145"/>
      <c r="H145">
        <v>0</v>
      </c>
    </row>
    <row r="146" spans="4:8">
      <c r="D146">
        <v>-5</v>
      </c>
      <c r="E146">
        <v>11</v>
      </c>
      <c r="F146">
        <v>1</v>
      </c>
      <c r="G146"/>
      <c r="H146">
        <v>0</v>
      </c>
    </row>
    <row r="147" spans="4:8">
      <c r="D147">
        <v>50</v>
      </c>
      <c r="E147">
        <v>3.5</v>
      </c>
      <c r="F147">
        <v>1</v>
      </c>
      <c r="G147"/>
      <c r="H147">
        <v>0</v>
      </c>
    </row>
    <row r="148" spans="4:8">
      <c r="D148">
        <v>50</v>
      </c>
      <c r="E148">
        <v>11</v>
      </c>
      <c r="F148">
        <v>0.9</v>
      </c>
      <c r="G148"/>
      <c r="H148">
        <v>0</v>
      </c>
    </row>
  </sheetData>
  <phoneticPr fontId="0" type="noConversion"/>
  <printOptions gridLines="1" gridLinesSet="0"/>
  <pageMargins left="0.75" right="0.75" top="1" bottom="1" header="0.5" footer="0.5"/>
  <pageSetup paperSize="9" orientation="portrait" horizontalDpi="4294967292" r:id="rId1"/>
  <headerFooter alignWithMargins="0">
    <oddHeader>&amp;A</oddHeader>
    <oddFooter>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O119"/>
  <sheetViews>
    <sheetView workbookViewId="0">
      <selection activeCell="E28" sqref="E28"/>
    </sheetView>
  </sheetViews>
  <sheetFormatPr defaultColWidth="8.875" defaultRowHeight="12.75"/>
  <cols>
    <col min="1" max="1" width="8.375" style="2" customWidth="1"/>
    <col min="2" max="3" width="11.5" style="2" customWidth="1"/>
    <col min="4" max="4" width="11.125" style="2" customWidth="1"/>
    <col min="5" max="5" width="6.875" style="2" customWidth="1"/>
    <col min="6" max="6" width="7.375" style="2" customWidth="1"/>
    <col min="7" max="7" width="6.5" style="2" customWidth="1"/>
    <col min="8" max="8" width="6.625" style="2" customWidth="1"/>
    <col min="9" max="9" width="6.25" style="2" customWidth="1"/>
    <col min="10" max="10" width="6.125" style="2" customWidth="1"/>
    <col min="11" max="14" width="6.5" style="2" customWidth="1"/>
    <col min="15" max="15" width="6.75" style="2" customWidth="1"/>
    <col min="16" max="16384" width="8.875" style="2"/>
  </cols>
  <sheetData>
    <row r="1" spans="1:15" ht="13.5" thickBot="1">
      <c r="A1" s="23" t="str">
        <f>Orgs!B15</f>
        <v>Listeria monocytogenes + Nitrite</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EXP(-3.95)</f>
        <v>1.925470177538692E-2</v>
      </c>
      <c r="D3" s="30">
        <v>20</v>
      </c>
      <c r="E3" s="30">
        <v>7</v>
      </c>
      <c r="F3" s="32" t="s">
        <v>201</v>
      </c>
      <c r="G3" s="30">
        <v>0.5</v>
      </c>
      <c r="H3" s="30"/>
      <c r="I3" s="30">
        <v>0</v>
      </c>
      <c r="J3" s="30"/>
      <c r="K3" s="30"/>
      <c r="L3" s="30"/>
      <c r="M3" s="30"/>
      <c r="N3" s="30"/>
      <c r="O3" s="33"/>
    </row>
    <row r="4" spans="1:15">
      <c r="A4" s="29" t="s">
        <v>202</v>
      </c>
      <c r="B4" s="30"/>
      <c r="C4" s="34"/>
      <c r="D4" s="30">
        <v>1</v>
      </c>
      <c r="E4" s="30">
        <v>4.4000000000000004</v>
      </c>
      <c r="F4" s="30"/>
      <c r="G4" s="30">
        <v>0</v>
      </c>
      <c r="H4" s="30"/>
      <c r="I4" s="30">
        <v>0</v>
      </c>
      <c r="J4" s="30"/>
      <c r="K4" s="30"/>
      <c r="L4" s="30"/>
      <c r="M4" s="30"/>
      <c r="N4" s="30"/>
      <c r="O4" s="33"/>
    </row>
    <row r="5" spans="1:15" ht="13.5" thickBot="1">
      <c r="A5" s="35" t="s">
        <v>203</v>
      </c>
      <c r="B5" s="36"/>
      <c r="C5" s="37"/>
      <c r="D5" s="36">
        <v>35</v>
      </c>
      <c r="E5" s="36">
        <v>7.5</v>
      </c>
      <c r="F5" s="36"/>
      <c r="G5" s="36">
        <v>11.5</v>
      </c>
      <c r="H5" s="36"/>
      <c r="I5" s="36">
        <v>200</v>
      </c>
      <c r="J5" s="36"/>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211</v>
      </c>
      <c r="I8" s="36" t="s">
        <v>246</v>
      </c>
      <c r="J8" s="36" t="s">
        <v>211</v>
      </c>
      <c r="K8" s="36" t="s">
        <v>211</v>
      </c>
      <c r="L8" s="36" t="s">
        <v>211</v>
      </c>
      <c r="M8" s="36" t="s">
        <v>211</v>
      </c>
      <c r="N8" s="36" t="s">
        <v>211</v>
      </c>
      <c r="O8" s="38" t="s">
        <v>211</v>
      </c>
    </row>
    <row r="9" spans="1:15" ht="13.5" thickBot="1">
      <c r="A9" s="2" t="s">
        <v>212</v>
      </c>
      <c r="D9" s="2">
        <v>3</v>
      </c>
      <c r="E9" s="2">
        <v>1</v>
      </c>
      <c r="F9" s="2">
        <v>0.02</v>
      </c>
      <c r="I9" s="2">
        <v>100</v>
      </c>
    </row>
    <row r="10" spans="1:15" ht="14.25">
      <c r="A10" s="39"/>
      <c r="B10" s="53" t="s">
        <v>213</v>
      </c>
      <c r="C10" s="27"/>
      <c r="D10" s="27"/>
      <c r="E10" s="43"/>
      <c r="F10" s="43"/>
      <c r="G10" s="44"/>
      <c r="H10" s="56" t="s">
        <v>214</v>
      </c>
      <c r="I10" s="45"/>
    </row>
    <row r="11" spans="1:15">
      <c r="A11" s="29" t="s">
        <v>215</v>
      </c>
      <c r="B11" s="32">
        <v>0.3</v>
      </c>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amp;B24&amp;"*("&amp;C24&amp;")+"&amp;B25&amp;"*("&amp;C25&amp;")+"&amp;B26&amp;"*("&amp;C26&amp;")+"&amp;B27&amp;"*("&amp;C27&amp;")+"&amp;B28&amp;"*("&amp;C28&amp;"))"</f>
        <v xml:space="preserve"> =EXP(1*(-14.02)+tr*(0.2279)+pr*(2.784)+bw*(7.437)+tr*pr*(0.00696)+tr*bw*(-0.06091)+pr*bw*(0.3333)+tr^2*(-0.003908)+pr^2*(-0.2101)+bw^2*(-52.05)+nr*(-0.02058)+tr*nr*(0.00005336)+pr*nr*(0.00241)+bw*nr*(0.004447)+nr^2*(0.000003304))</v>
      </c>
      <c r="C12" s="49"/>
      <c r="D12" s="50"/>
      <c r="E12" s="49"/>
      <c r="F12" s="50"/>
      <c r="G12" s="51"/>
      <c r="H12" s="36">
        <v>8.5</v>
      </c>
      <c r="I12" s="38"/>
    </row>
    <row r="14" spans="1:15">
      <c r="A14" s="1">
        <v>1</v>
      </c>
      <c r="B14" s="24">
        <v>1</v>
      </c>
      <c r="C14" s="54">
        <v>-14.02</v>
      </c>
      <c r="D14" s="60"/>
    </row>
    <row r="15" spans="1:15">
      <c r="A15" s="1">
        <v>20</v>
      </c>
      <c r="B15" s="24" t="s">
        <v>45</v>
      </c>
      <c r="C15" s="54">
        <v>0.22789999999999999</v>
      </c>
      <c r="D15" s="60"/>
    </row>
    <row r="16" spans="1:15">
      <c r="A16" s="1">
        <v>7</v>
      </c>
      <c r="B16" s="24" t="s">
        <v>46</v>
      </c>
      <c r="C16" s="54">
        <v>2.7839999999999998</v>
      </c>
      <c r="D16" s="60"/>
    </row>
    <row r="17" spans="1:9">
      <c r="A17" s="1">
        <v>0.5</v>
      </c>
      <c r="B17" s="24" t="s">
        <v>47</v>
      </c>
      <c r="C17" s="54">
        <v>7.4370000000000003</v>
      </c>
    </row>
    <row r="18" spans="1:9">
      <c r="A18" s="1">
        <f>A$15*A$16</f>
        <v>140</v>
      </c>
      <c r="B18" s="24" t="s">
        <v>222</v>
      </c>
      <c r="C18" s="54">
        <v>6.96E-3</v>
      </c>
    </row>
    <row r="19" spans="1:9">
      <c r="A19" s="1">
        <f>A$15*A$17</f>
        <v>10</v>
      </c>
      <c r="B19" s="24" t="s">
        <v>225</v>
      </c>
      <c r="C19" s="54">
        <v>-6.0909999999999999E-2</v>
      </c>
    </row>
    <row r="20" spans="1:9">
      <c r="A20" s="1">
        <f>A$16*A$17</f>
        <v>3.5</v>
      </c>
      <c r="B20" s="24" t="s">
        <v>227</v>
      </c>
      <c r="C20" s="54">
        <v>0.33329999999999999</v>
      </c>
    </row>
    <row r="21" spans="1:9">
      <c r="A21" s="1">
        <f>A$15^2</f>
        <v>400</v>
      </c>
      <c r="B21" s="24" t="s">
        <v>229</v>
      </c>
      <c r="C21" s="54">
        <v>-3.908E-3</v>
      </c>
    </row>
    <row r="22" spans="1:9">
      <c r="A22" s="1">
        <f>A$16^2</f>
        <v>49</v>
      </c>
      <c r="B22" s="24" t="s">
        <v>231</v>
      </c>
      <c r="C22" s="54">
        <v>-0.21010000000000001</v>
      </c>
    </row>
    <row r="23" spans="1:9">
      <c r="A23" s="1">
        <f>A$17^2</f>
        <v>0.25</v>
      </c>
      <c r="B23" s="24" t="s">
        <v>233</v>
      </c>
      <c r="C23" s="54">
        <v>-52.05</v>
      </c>
    </row>
    <row r="24" spans="1:9">
      <c r="A24" s="1">
        <v>20</v>
      </c>
      <c r="B24" s="24" t="s">
        <v>50</v>
      </c>
      <c r="C24" s="54">
        <v>-2.0580000000000001E-2</v>
      </c>
    </row>
    <row r="25" spans="1:9">
      <c r="A25" s="1">
        <f>A$15*A$24</f>
        <v>400</v>
      </c>
      <c r="B25" s="24" t="s">
        <v>247</v>
      </c>
      <c r="C25" s="54">
        <v>5.3359999999999997E-5</v>
      </c>
    </row>
    <row r="26" spans="1:9">
      <c r="A26" s="1">
        <f>A$16*A$24</f>
        <v>140</v>
      </c>
      <c r="B26" s="24" t="s">
        <v>248</v>
      </c>
      <c r="C26" s="54">
        <v>2.4099999999999998E-3</v>
      </c>
    </row>
    <row r="27" spans="1:9">
      <c r="A27" s="1">
        <f>A$17*A$24</f>
        <v>10</v>
      </c>
      <c r="B27" s="24" t="s">
        <v>249</v>
      </c>
      <c r="C27" s="54">
        <v>4.4470000000000004E-3</v>
      </c>
    </row>
    <row r="28" spans="1:9">
      <c r="A28" s="1">
        <f>A$24^2</f>
        <v>400</v>
      </c>
      <c r="B28" s="24" t="s">
        <v>250</v>
      </c>
      <c r="C28" s="54">
        <v>3.304E-6</v>
      </c>
    </row>
    <row r="30" spans="1:9">
      <c r="D30" s="124" t="s">
        <v>234</v>
      </c>
    </row>
    <row r="31" spans="1:9">
      <c r="C31"/>
      <c r="D31">
        <v>5</v>
      </c>
      <c r="E31">
        <v>7.4</v>
      </c>
      <c r="F31">
        <v>0.99734593500000002</v>
      </c>
      <c r="G31"/>
      <c r="I31">
        <v>0</v>
      </c>
    </row>
    <row r="32" spans="1:9">
      <c r="C32"/>
      <c r="D32">
        <v>35</v>
      </c>
      <c r="E32">
        <v>6</v>
      </c>
      <c r="F32">
        <v>0.95021135999999995</v>
      </c>
      <c r="G32"/>
      <c r="I32">
        <v>0</v>
      </c>
    </row>
    <row r="33" spans="3:9">
      <c r="C33"/>
      <c r="D33">
        <v>25</v>
      </c>
      <c r="E33">
        <v>4.5999999999999996</v>
      </c>
      <c r="F33">
        <v>0.99734593500000002</v>
      </c>
      <c r="G33"/>
      <c r="I33">
        <v>0</v>
      </c>
    </row>
    <row r="34" spans="3:9">
      <c r="C34"/>
      <c r="D34">
        <v>25</v>
      </c>
      <c r="E34">
        <v>7.4</v>
      </c>
      <c r="F34">
        <v>0.99734593500000002</v>
      </c>
      <c r="G34"/>
      <c r="I34">
        <v>0</v>
      </c>
    </row>
    <row r="35" spans="3:9">
      <c r="C35"/>
      <c r="D35">
        <v>5</v>
      </c>
      <c r="E35">
        <v>7.4</v>
      </c>
      <c r="F35">
        <v>0.95021135999999995</v>
      </c>
      <c r="G35"/>
      <c r="I35">
        <v>0</v>
      </c>
    </row>
    <row r="36" spans="3:9">
      <c r="C36"/>
      <c r="D36">
        <v>35</v>
      </c>
      <c r="E36">
        <v>4.5999999999999996</v>
      </c>
      <c r="F36">
        <v>0.99734593500000002</v>
      </c>
      <c r="G36"/>
      <c r="I36">
        <v>0</v>
      </c>
    </row>
    <row r="37" spans="3:9">
      <c r="C37"/>
      <c r="D37">
        <v>35</v>
      </c>
      <c r="E37">
        <v>7.4</v>
      </c>
      <c r="F37">
        <v>0.99734593500000002</v>
      </c>
      <c r="G37"/>
      <c r="I37">
        <v>0</v>
      </c>
    </row>
    <row r="38" spans="3:9">
      <c r="C38"/>
      <c r="D38">
        <v>8</v>
      </c>
      <c r="E38">
        <v>4.5999999999999996</v>
      </c>
      <c r="F38">
        <v>0.99734593500000002</v>
      </c>
      <c r="G38"/>
      <c r="I38">
        <v>0</v>
      </c>
    </row>
    <row r="39" spans="3:9">
      <c r="C39"/>
      <c r="D39">
        <v>25</v>
      </c>
      <c r="E39">
        <v>4.9000000000000004</v>
      </c>
      <c r="F39">
        <v>0.95728935999999998</v>
      </c>
      <c r="G39"/>
      <c r="I39">
        <v>0</v>
      </c>
    </row>
    <row r="40" spans="3:9">
      <c r="C40"/>
      <c r="D40">
        <v>35</v>
      </c>
      <c r="E40">
        <v>4.9000000000000004</v>
      </c>
      <c r="F40">
        <v>0.95728935999999998</v>
      </c>
      <c r="G40"/>
      <c r="I40">
        <v>0</v>
      </c>
    </row>
    <row r="41" spans="3:9">
      <c r="C41"/>
      <c r="D41">
        <v>35</v>
      </c>
      <c r="E41">
        <v>7.4</v>
      </c>
      <c r="F41">
        <v>0.95021135999999995</v>
      </c>
      <c r="G41"/>
      <c r="I41">
        <v>0</v>
      </c>
    </row>
    <row r="42" spans="3:9">
      <c r="C42"/>
      <c r="D42">
        <v>10</v>
      </c>
      <c r="E42">
        <v>4.5</v>
      </c>
      <c r="F42">
        <v>0.99734593500000002</v>
      </c>
      <c r="G42"/>
      <c r="I42">
        <v>0</v>
      </c>
    </row>
    <row r="43" spans="3:9">
      <c r="C43"/>
      <c r="D43">
        <v>10</v>
      </c>
      <c r="E43">
        <v>4.5999999999999996</v>
      </c>
      <c r="F43">
        <v>0.97705863999999998</v>
      </c>
      <c r="G43"/>
      <c r="I43">
        <v>0</v>
      </c>
    </row>
    <row r="44" spans="3:9">
      <c r="C44"/>
      <c r="D44">
        <v>10</v>
      </c>
      <c r="E44">
        <v>5.2</v>
      </c>
      <c r="F44">
        <v>0.95021135999999995</v>
      </c>
      <c r="G44"/>
      <c r="I44">
        <v>0</v>
      </c>
    </row>
    <row r="45" spans="3:9">
      <c r="C45"/>
      <c r="D45">
        <v>35</v>
      </c>
      <c r="E45">
        <v>4.5999999999999996</v>
      </c>
      <c r="F45">
        <v>0.97705863999999998</v>
      </c>
      <c r="G45"/>
      <c r="I45">
        <v>0</v>
      </c>
    </row>
    <row r="46" spans="3:9">
      <c r="C46"/>
      <c r="D46">
        <v>4</v>
      </c>
      <c r="E46">
        <v>5</v>
      </c>
      <c r="F46">
        <v>0.99734593500000002</v>
      </c>
      <c r="G46"/>
      <c r="I46">
        <v>0</v>
      </c>
    </row>
    <row r="47" spans="3:9">
      <c r="C47"/>
      <c r="D47">
        <v>1</v>
      </c>
      <c r="E47">
        <v>5.6</v>
      </c>
      <c r="F47">
        <v>0.99734593500000002</v>
      </c>
      <c r="G47"/>
      <c r="I47">
        <v>0</v>
      </c>
    </row>
    <row r="48" spans="3:9">
      <c r="C48"/>
      <c r="D48">
        <v>1</v>
      </c>
      <c r="E48">
        <v>6.9</v>
      </c>
      <c r="F48">
        <v>0.99734593500000002</v>
      </c>
      <c r="G48"/>
      <c r="I48">
        <v>0</v>
      </c>
    </row>
    <row r="49" spans="3:9">
      <c r="C49"/>
      <c r="D49">
        <v>20</v>
      </c>
      <c r="E49">
        <v>4.4000000000000004</v>
      </c>
      <c r="F49">
        <v>0.99734593500000002</v>
      </c>
      <c r="G49"/>
      <c r="I49">
        <v>0</v>
      </c>
    </row>
    <row r="50" spans="3:9">
      <c r="C50"/>
      <c r="D50">
        <v>20</v>
      </c>
      <c r="E50">
        <v>7</v>
      </c>
      <c r="F50">
        <v>0.93532300000000002</v>
      </c>
      <c r="G50"/>
      <c r="I50">
        <v>0</v>
      </c>
    </row>
    <row r="51" spans="3:9">
      <c r="C51"/>
      <c r="D51">
        <v>8</v>
      </c>
      <c r="E51">
        <v>7</v>
      </c>
      <c r="F51">
        <v>0.93532300000000002</v>
      </c>
      <c r="G51"/>
      <c r="I51">
        <v>0</v>
      </c>
    </row>
    <row r="52" spans="3:9">
      <c r="C52"/>
      <c r="D52">
        <v>10</v>
      </c>
      <c r="E52">
        <v>6.4</v>
      </c>
      <c r="F52">
        <v>0.92351591499999997</v>
      </c>
      <c r="G52"/>
      <c r="I52">
        <v>0</v>
      </c>
    </row>
    <row r="53" spans="3:9">
      <c r="C53"/>
      <c r="D53">
        <v>1</v>
      </c>
      <c r="E53">
        <v>6.9</v>
      </c>
      <c r="F53">
        <v>0.97391633499999997</v>
      </c>
      <c r="G53"/>
      <c r="I53">
        <v>0</v>
      </c>
    </row>
    <row r="54" spans="3:9">
      <c r="C54"/>
      <c r="D54">
        <v>3</v>
      </c>
      <c r="E54">
        <v>6.3</v>
      </c>
      <c r="F54">
        <v>0.93144833500000002</v>
      </c>
      <c r="G54"/>
      <c r="I54">
        <v>0</v>
      </c>
    </row>
    <row r="55" spans="3:9">
      <c r="C55"/>
      <c r="D55">
        <v>3</v>
      </c>
      <c r="E55">
        <v>6.8</v>
      </c>
      <c r="F55">
        <v>0.93144833500000002</v>
      </c>
      <c r="G55"/>
      <c r="I55">
        <v>0</v>
      </c>
    </row>
    <row r="56" spans="3:9">
      <c r="C56"/>
      <c r="D56">
        <v>5</v>
      </c>
      <c r="E56">
        <v>7</v>
      </c>
      <c r="F56">
        <v>0.99734593500000002</v>
      </c>
      <c r="G56"/>
      <c r="I56">
        <v>200</v>
      </c>
    </row>
    <row r="57" spans="3:9">
      <c r="C57"/>
      <c r="D57">
        <v>10</v>
      </c>
      <c r="E57">
        <v>7.5</v>
      </c>
      <c r="F57">
        <v>0.95021135999999995</v>
      </c>
      <c r="G57"/>
      <c r="I57">
        <v>100</v>
      </c>
    </row>
    <row r="58" spans="3:9">
      <c r="C58"/>
      <c r="D58">
        <v>10</v>
      </c>
      <c r="E58">
        <v>7.5</v>
      </c>
      <c r="F58">
        <v>0.95021135999999995</v>
      </c>
      <c r="G58"/>
      <c r="I58">
        <v>50</v>
      </c>
    </row>
    <row r="59" spans="3:9">
      <c r="C59"/>
      <c r="D59">
        <v>20</v>
      </c>
      <c r="E59">
        <v>6</v>
      </c>
      <c r="F59">
        <v>0.95021135999999995</v>
      </c>
      <c r="G59"/>
      <c r="I59">
        <v>200</v>
      </c>
    </row>
    <row r="60" spans="3:9">
      <c r="C60"/>
      <c r="D60">
        <v>10</v>
      </c>
      <c r="E60">
        <v>7.6</v>
      </c>
      <c r="F60">
        <v>0.97705863999999998</v>
      </c>
      <c r="G60"/>
      <c r="I60">
        <v>200</v>
      </c>
    </row>
    <row r="61" spans="3:9">
      <c r="C61"/>
      <c r="D61">
        <v>10</v>
      </c>
      <c r="E61">
        <v>7.3</v>
      </c>
      <c r="F61">
        <v>0.99734593500000002</v>
      </c>
      <c r="G61"/>
      <c r="I61">
        <v>200</v>
      </c>
    </row>
    <row r="62" spans="3:9">
      <c r="C62"/>
      <c r="D62">
        <v>10</v>
      </c>
      <c r="E62">
        <v>7.6</v>
      </c>
      <c r="F62">
        <v>0.97705863999999998</v>
      </c>
      <c r="G62"/>
      <c r="I62">
        <v>50</v>
      </c>
    </row>
    <row r="63" spans="3:9">
      <c r="C63"/>
      <c r="D63">
        <v>35</v>
      </c>
      <c r="E63">
        <v>5.3</v>
      </c>
      <c r="F63">
        <v>0.97705863999999998</v>
      </c>
      <c r="G63"/>
      <c r="I63">
        <v>200</v>
      </c>
    </row>
    <row r="64" spans="3:9">
      <c r="C64"/>
      <c r="D64">
        <v>35</v>
      </c>
      <c r="E64">
        <v>5.8</v>
      </c>
      <c r="F64">
        <v>0.95021135999999995</v>
      </c>
      <c r="G64"/>
      <c r="I64">
        <v>100</v>
      </c>
    </row>
    <row r="65" spans="3:9">
      <c r="C65"/>
      <c r="D65">
        <v>20</v>
      </c>
      <c r="E65">
        <v>6</v>
      </c>
      <c r="F65">
        <v>0.97705863999999998</v>
      </c>
      <c r="G65"/>
      <c r="I65">
        <v>200</v>
      </c>
    </row>
    <row r="66" spans="3:9">
      <c r="C66"/>
      <c r="D66">
        <v>20</v>
      </c>
      <c r="E66">
        <v>6.1</v>
      </c>
      <c r="F66">
        <v>0.99734593500000002</v>
      </c>
      <c r="G66"/>
      <c r="I66">
        <v>200</v>
      </c>
    </row>
    <row r="67" spans="3:9">
      <c r="C67"/>
      <c r="D67">
        <v>20</v>
      </c>
      <c r="E67">
        <v>7.5</v>
      </c>
      <c r="F67">
        <v>0.95021135999999995</v>
      </c>
      <c r="G67"/>
      <c r="I67">
        <v>100</v>
      </c>
    </row>
    <row r="68" spans="3:9">
      <c r="C68"/>
      <c r="D68">
        <v>35</v>
      </c>
      <c r="E68">
        <v>5.4</v>
      </c>
      <c r="F68">
        <v>0.99734593500000002</v>
      </c>
      <c r="G68"/>
      <c r="I68">
        <v>200</v>
      </c>
    </row>
    <row r="69" spans="3:9">
      <c r="C69"/>
      <c r="D69">
        <v>35</v>
      </c>
      <c r="E69">
        <v>5.8</v>
      </c>
      <c r="F69">
        <v>0.95021135999999995</v>
      </c>
      <c r="G69"/>
      <c r="I69">
        <v>50</v>
      </c>
    </row>
    <row r="70" spans="3:9">
      <c r="C70"/>
      <c r="D70">
        <v>35</v>
      </c>
      <c r="E70">
        <v>7</v>
      </c>
      <c r="F70">
        <v>0.95021135999999995</v>
      </c>
      <c r="G70"/>
      <c r="I70">
        <v>200</v>
      </c>
    </row>
    <row r="71" spans="3:9">
      <c r="C71"/>
      <c r="D71">
        <v>20</v>
      </c>
      <c r="E71">
        <v>7.4</v>
      </c>
      <c r="F71">
        <v>0.99734593500000002</v>
      </c>
      <c r="G71"/>
      <c r="I71">
        <v>200</v>
      </c>
    </row>
    <row r="72" spans="3:9">
      <c r="C72"/>
      <c r="D72">
        <v>20</v>
      </c>
      <c r="E72">
        <v>7.5</v>
      </c>
      <c r="F72">
        <v>0.99734593500000002</v>
      </c>
      <c r="G72"/>
      <c r="I72">
        <v>100</v>
      </c>
    </row>
    <row r="73" spans="3:9">
      <c r="C73"/>
      <c r="D73">
        <v>35</v>
      </c>
      <c r="E73">
        <v>7.4</v>
      </c>
      <c r="F73">
        <v>0.97705863999999998</v>
      </c>
      <c r="G73"/>
      <c r="I73">
        <v>200</v>
      </c>
    </row>
    <row r="74" spans="3:9">
      <c r="C74"/>
      <c r="D74">
        <v>35</v>
      </c>
      <c r="E74">
        <v>7</v>
      </c>
      <c r="F74">
        <v>0.99734593500000002</v>
      </c>
      <c r="G74"/>
      <c r="I74">
        <v>200</v>
      </c>
    </row>
    <row r="75" spans="3:9">
      <c r="G75"/>
    </row>
    <row r="76" spans="3:9">
      <c r="D76" s="2" t="s">
        <v>235</v>
      </c>
      <c r="G76"/>
    </row>
    <row r="77" spans="3:9">
      <c r="C77"/>
      <c r="D77">
        <v>37</v>
      </c>
      <c r="E77">
        <v>4.9000000000000004</v>
      </c>
      <c r="F77">
        <v>0.95728935999999998</v>
      </c>
      <c r="I77">
        <v>0</v>
      </c>
    </row>
    <row r="78" spans="3:9">
      <c r="C78"/>
      <c r="D78">
        <v>37</v>
      </c>
      <c r="E78">
        <v>4.5999999999999996</v>
      </c>
      <c r="F78">
        <v>0.97705863999999998</v>
      </c>
      <c r="I78">
        <v>0</v>
      </c>
    </row>
    <row r="79" spans="3:9">
      <c r="C79"/>
      <c r="D79">
        <v>37</v>
      </c>
      <c r="E79">
        <v>4.4000000000000004</v>
      </c>
      <c r="F79">
        <v>0.999</v>
      </c>
      <c r="I79">
        <v>0</v>
      </c>
    </row>
    <row r="80" spans="3:9">
      <c r="C80"/>
      <c r="D80">
        <v>10</v>
      </c>
      <c r="E80">
        <v>7</v>
      </c>
      <c r="F80">
        <v>0.92351591499999997</v>
      </c>
      <c r="I80">
        <v>0</v>
      </c>
    </row>
    <row r="81" spans="3:9">
      <c r="C81"/>
      <c r="D81">
        <v>37</v>
      </c>
      <c r="E81">
        <v>6.4</v>
      </c>
      <c r="F81">
        <v>0.92351591499999997</v>
      </c>
      <c r="I81">
        <v>0</v>
      </c>
    </row>
    <row r="82" spans="3:9">
      <c r="C82"/>
      <c r="D82">
        <v>37</v>
      </c>
      <c r="E82">
        <v>7</v>
      </c>
      <c r="F82">
        <v>0.92351591499999997</v>
      </c>
      <c r="I82">
        <v>0</v>
      </c>
    </row>
    <row r="83" spans="3:9">
      <c r="C83"/>
      <c r="D83">
        <v>3</v>
      </c>
      <c r="E83">
        <v>7</v>
      </c>
      <c r="F83">
        <v>0.93144833500000002</v>
      </c>
      <c r="I83">
        <v>0</v>
      </c>
    </row>
    <row r="84" spans="3:9">
      <c r="C84"/>
      <c r="D84">
        <v>37</v>
      </c>
      <c r="E84">
        <v>7.5</v>
      </c>
      <c r="F84">
        <v>0.95021135999999995</v>
      </c>
      <c r="I84">
        <v>100</v>
      </c>
    </row>
    <row r="85" spans="3:9">
      <c r="C85"/>
      <c r="D85">
        <v>37</v>
      </c>
      <c r="E85">
        <v>7.5</v>
      </c>
      <c r="F85">
        <v>0.95021135999999995</v>
      </c>
      <c r="I85">
        <v>0</v>
      </c>
    </row>
    <row r="86" spans="3:9">
      <c r="C86"/>
      <c r="D86">
        <v>5</v>
      </c>
      <c r="E86">
        <v>7.5</v>
      </c>
      <c r="F86">
        <v>0.97399999999999998</v>
      </c>
      <c r="I86">
        <v>1000</v>
      </c>
    </row>
    <row r="87" spans="3:9">
      <c r="C87"/>
      <c r="D87">
        <v>37</v>
      </c>
      <c r="E87">
        <v>7.5</v>
      </c>
      <c r="F87">
        <v>0.97399999999999998</v>
      </c>
      <c r="I87">
        <v>1000</v>
      </c>
    </row>
    <row r="88" spans="3:9">
      <c r="C88"/>
      <c r="D88">
        <v>5</v>
      </c>
      <c r="E88">
        <v>7.5</v>
      </c>
      <c r="F88">
        <v>0.999</v>
      </c>
      <c r="I88">
        <v>1000</v>
      </c>
    </row>
    <row r="89" spans="3:9">
      <c r="C89"/>
      <c r="D89">
        <v>37</v>
      </c>
      <c r="E89">
        <v>7.5</v>
      </c>
      <c r="F89">
        <v>0.999</v>
      </c>
      <c r="I89">
        <v>1000</v>
      </c>
    </row>
    <row r="90" spans="3:9">
      <c r="C90"/>
      <c r="D90">
        <v>20</v>
      </c>
      <c r="E90">
        <v>4.3</v>
      </c>
      <c r="F90">
        <v>0.999</v>
      </c>
      <c r="I90">
        <v>0</v>
      </c>
    </row>
    <row r="91" spans="3:9">
      <c r="C91"/>
      <c r="D91">
        <v>10</v>
      </c>
      <c r="E91">
        <v>4.5</v>
      </c>
      <c r="F91">
        <v>0.97099999999999997</v>
      </c>
      <c r="I91">
        <v>0</v>
      </c>
    </row>
    <row r="92" spans="3:9">
      <c r="C92"/>
      <c r="D92">
        <v>20</v>
      </c>
      <c r="E92">
        <v>4.5</v>
      </c>
      <c r="F92">
        <v>0.93500000000000005</v>
      </c>
      <c r="I92">
        <v>0</v>
      </c>
    </row>
    <row r="93" spans="3:9">
      <c r="C93"/>
      <c r="D93">
        <v>8</v>
      </c>
      <c r="E93">
        <v>4.5</v>
      </c>
      <c r="F93">
        <v>0.999</v>
      </c>
      <c r="I93">
        <v>0</v>
      </c>
    </row>
    <row r="94" spans="3:9">
      <c r="C94"/>
      <c r="D94">
        <v>4</v>
      </c>
      <c r="E94">
        <v>4.7</v>
      </c>
      <c r="F94">
        <v>0.999</v>
      </c>
      <c r="I94">
        <v>0</v>
      </c>
    </row>
    <row r="95" spans="3:9">
      <c r="C95"/>
      <c r="D95">
        <v>3</v>
      </c>
      <c r="E95">
        <v>4.9000000000000004</v>
      </c>
      <c r="F95">
        <v>0.98599999999999999</v>
      </c>
      <c r="I95">
        <v>0</v>
      </c>
    </row>
    <row r="96" spans="3:9">
      <c r="C96"/>
      <c r="D96">
        <v>10</v>
      </c>
      <c r="E96">
        <v>5</v>
      </c>
      <c r="F96">
        <v>0.93500000000000005</v>
      </c>
      <c r="I96">
        <v>0</v>
      </c>
    </row>
    <row r="97" spans="3:9">
      <c r="C97"/>
      <c r="D97">
        <v>-0.2</v>
      </c>
      <c r="E97">
        <v>5.4</v>
      </c>
      <c r="F97">
        <v>0.999</v>
      </c>
      <c r="I97">
        <v>0</v>
      </c>
    </row>
    <row r="98" spans="3:9">
      <c r="C98"/>
      <c r="D98">
        <v>0</v>
      </c>
      <c r="E98">
        <v>5.5</v>
      </c>
      <c r="F98">
        <v>0.97099999999999997</v>
      </c>
      <c r="I98">
        <v>0</v>
      </c>
    </row>
    <row r="99" spans="3:9">
      <c r="C99"/>
      <c r="D99">
        <v>-1.5</v>
      </c>
      <c r="E99">
        <v>6.1</v>
      </c>
      <c r="F99">
        <v>0.999</v>
      </c>
      <c r="I99">
        <v>0</v>
      </c>
    </row>
    <row r="100" spans="3:9">
      <c r="C100"/>
      <c r="D100">
        <v>3</v>
      </c>
      <c r="E100">
        <v>6.3</v>
      </c>
      <c r="F100">
        <v>0.92800000000000005</v>
      </c>
      <c r="I100">
        <v>0</v>
      </c>
    </row>
    <row r="101" spans="3:9">
      <c r="C101"/>
      <c r="D101">
        <v>10</v>
      </c>
      <c r="E101">
        <v>6.4</v>
      </c>
      <c r="F101">
        <v>0.91900000000000004</v>
      </c>
      <c r="I101">
        <v>0</v>
      </c>
    </row>
    <row r="102" spans="3:9">
      <c r="C102"/>
      <c r="D102">
        <v>3</v>
      </c>
      <c r="E102">
        <v>6.8</v>
      </c>
      <c r="F102">
        <v>0.92800000000000005</v>
      </c>
      <c r="I102">
        <v>0</v>
      </c>
    </row>
    <row r="103" spans="3:9">
      <c r="C103"/>
      <c r="D103">
        <v>2</v>
      </c>
      <c r="E103">
        <v>6.9</v>
      </c>
      <c r="F103">
        <v>0.999</v>
      </c>
      <c r="I103">
        <v>0</v>
      </c>
    </row>
    <row r="104" spans="3:9">
      <c r="C104"/>
      <c r="D104">
        <v>0</v>
      </c>
      <c r="E104">
        <v>7</v>
      </c>
      <c r="F104">
        <v>0.97099999999999997</v>
      </c>
      <c r="I104">
        <v>0</v>
      </c>
    </row>
    <row r="105" spans="3:9">
      <c r="C105"/>
      <c r="D105">
        <v>1</v>
      </c>
      <c r="E105">
        <v>7</v>
      </c>
      <c r="F105">
        <v>0.93500000000000005</v>
      </c>
      <c r="I105">
        <v>0</v>
      </c>
    </row>
    <row r="106" spans="3:9">
      <c r="C106"/>
      <c r="D106">
        <v>45</v>
      </c>
      <c r="E106">
        <v>7</v>
      </c>
      <c r="F106">
        <v>0.999</v>
      </c>
      <c r="I106">
        <v>0</v>
      </c>
    </row>
    <row r="107" spans="3:9">
      <c r="C107"/>
      <c r="D107">
        <v>5</v>
      </c>
      <c r="E107">
        <v>8.9</v>
      </c>
      <c r="F107">
        <v>0.999</v>
      </c>
      <c r="I107">
        <v>0</v>
      </c>
    </row>
    <row r="108" spans="3:9">
      <c r="C108"/>
      <c r="D108">
        <v>30</v>
      </c>
      <c r="E108">
        <v>9.1999999999999993</v>
      </c>
      <c r="F108">
        <v>0.999</v>
      </c>
      <c r="I108">
        <v>0</v>
      </c>
    </row>
    <row r="109" spans="3:9">
      <c r="G109"/>
    </row>
    <row r="110" spans="3:9">
      <c r="D110" s="2" t="s">
        <v>236</v>
      </c>
      <c r="G110"/>
    </row>
    <row r="111" spans="3:9">
      <c r="C111"/>
      <c r="D111">
        <v>50</v>
      </c>
      <c r="E111">
        <v>11</v>
      </c>
      <c r="F111">
        <v>1</v>
      </c>
      <c r="I111">
        <v>20000</v>
      </c>
    </row>
    <row r="112" spans="3:9">
      <c r="C112"/>
      <c r="D112">
        <v>0</v>
      </c>
      <c r="E112">
        <v>9.1999999999999993</v>
      </c>
      <c r="F112">
        <v>0.95699999999999996</v>
      </c>
      <c r="I112">
        <v>0</v>
      </c>
    </row>
    <row r="113" spans="3:9">
      <c r="C113"/>
      <c r="D113">
        <v>47</v>
      </c>
      <c r="E113">
        <v>8.8000000000000007</v>
      </c>
      <c r="F113">
        <v>0.995</v>
      </c>
      <c r="I113">
        <v>0</v>
      </c>
    </row>
    <row r="114" spans="3:9">
      <c r="C114"/>
      <c r="D114">
        <v>-5</v>
      </c>
      <c r="E114">
        <v>3.5</v>
      </c>
      <c r="F114">
        <v>1</v>
      </c>
      <c r="I114">
        <v>0</v>
      </c>
    </row>
    <row r="115" spans="3:9">
      <c r="C115"/>
      <c r="D115">
        <v>-5</v>
      </c>
      <c r="E115">
        <v>3.5</v>
      </c>
      <c r="F115">
        <v>0.9</v>
      </c>
      <c r="I115">
        <v>0</v>
      </c>
    </row>
    <row r="116" spans="3:9">
      <c r="C116"/>
      <c r="D116">
        <v>-5</v>
      </c>
      <c r="E116">
        <v>11</v>
      </c>
      <c r="F116">
        <v>1</v>
      </c>
      <c r="I116">
        <v>0</v>
      </c>
    </row>
    <row r="117" spans="3:9">
      <c r="C117"/>
      <c r="D117">
        <v>50</v>
      </c>
      <c r="E117">
        <v>3.5</v>
      </c>
      <c r="F117">
        <v>1</v>
      </c>
      <c r="I117">
        <v>0</v>
      </c>
    </row>
    <row r="118" spans="3:9">
      <c r="C118"/>
      <c r="D118">
        <v>50</v>
      </c>
      <c r="E118">
        <v>11</v>
      </c>
      <c r="F118">
        <v>0.9</v>
      </c>
      <c r="I118">
        <v>0</v>
      </c>
    </row>
    <row r="119" spans="3:9">
      <c r="D119"/>
      <c r="E119"/>
      <c r="F119"/>
      <c r="G119"/>
      <c r="I119"/>
    </row>
  </sheetData>
  <phoneticPr fontId="0" type="noConversion"/>
  <printOptions gridLines="1" gridLinesSet="0"/>
  <pageMargins left="0.75" right="0.75" top="1" bottom="1" header="0.5" footer="0.5"/>
  <pageSetup paperSize="9" orientation="portrait" horizontalDpi="4294967292" r:id="rId1"/>
  <headerFooter alignWithMargins="0">
    <oddHeader>&amp;A</oddHeader>
    <oddFooter>Page &amp;P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O123"/>
  <sheetViews>
    <sheetView workbookViewId="0">
      <selection activeCell="E28" sqref="E28"/>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Orgs!B16</f>
        <v>Listeria monocytogenes + Lactic</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EXP(-3.95)</f>
        <v>1.925470177538692E-2</v>
      </c>
      <c r="D3" s="30">
        <v>20</v>
      </c>
      <c r="E3" s="30">
        <v>7</v>
      </c>
      <c r="F3" s="32" t="s">
        <v>201</v>
      </c>
      <c r="G3" s="30">
        <v>0.5</v>
      </c>
      <c r="H3" s="30"/>
      <c r="I3" s="30"/>
      <c r="J3" s="30"/>
      <c r="K3" s="30">
        <v>0</v>
      </c>
      <c r="L3" s="30"/>
      <c r="M3" s="30"/>
      <c r="N3" s="30"/>
      <c r="O3" s="33"/>
    </row>
    <row r="4" spans="1:15">
      <c r="A4" s="29" t="s">
        <v>202</v>
      </c>
      <c r="B4" s="30"/>
      <c r="C4" s="34"/>
      <c r="D4" s="30">
        <v>1</v>
      </c>
      <c r="E4" s="30">
        <v>4.4000000000000004</v>
      </c>
      <c r="F4" s="30"/>
      <c r="G4" s="30">
        <v>0</v>
      </c>
      <c r="H4" s="30"/>
      <c r="I4" s="30"/>
      <c r="J4" s="30"/>
      <c r="K4" s="30">
        <v>0</v>
      </c>
      <c r="L4" s="30"/>
      <c r="M4" s="30"/>
      <c r="N4" s="30"/>
      <c r="O4" s="33"/>
    </row>
    <row r="5" spans="1:15" ht="13.5" thickBot="1">
      <c r="A5" s="35" t="s">
        <v>203</v>
      </c>
      <c r="B5" s="36"/>
      <c r="C5" s="37"/>
      <c r="D5" s="36">
        <v>35</v>
      </c>
      <c r="E5" s="36">
        <v>7.5</v>
      </c>
      <c r="F5" s="36"/>
      <c r="G5" s="36">
        <v>11.5</v>
      </c>
      <c r="H5" s="36"/>
      <c r="I5" s="36"/>
      <c r="J5" s="36"/>
      <c r="K5" s="36">
        <v>20000</v>
      </c>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211</v>
      </c>
      <c r="I8" s="36" t="s">
        <v>211</v>
      </c>
      <c r="J8" s="36" t="s">
        <v>211</v>
      </c>
      <c r="K8" s="36" t="s">
        <v>251</v>
      </c>
      <c r="L8" s="36" t="s">
        <v>211</v>
      </c>
      <c r="M8" s="36" t="s">
        <v>211</v>
      </c>
      <c r="N8" s="36" t="s">
        <v>211</v>
      </c>
      <c r="O8" s="38" t="s">
        <v>211</v>
      </c>
    </row>
    <row r="9" spans="1:15" ht="13.5" thickBot="1">
      <c r="A9" s="2" t="s">
        <v>212</v>
      </c>
      <c r="D9" s="2">
        <v>3</v>
      </c>
      <c r="E9" s="2">
        <v>1</v>
      </c>
      <c r="F9" s="2">
        <v>0.02</v>
      </c>
      <c r="K9" s="2">
        <v>10000</v>
      </c>
    </row>
    <row r="10" spans="1:15" ht="14.25">
      <c r="A10" s="39"/>
      <c r="B10" s="53" t="s">
        <v>213</v>
      </c>
      <c r="C10" s="27"/>
      <c r="D10" s="27"/>
      <c r="E10" s="43"/>
      <c r="F10" s="43"/>
      <c r="G10" s="44"/>
      <c r="H10" s="56" t="s">
        <v>214</v>
      </c>
      <c r="I10" s="45"/>
    </row>
    <row r="11" spans="1:15">
      <c r="A11" s="29" t="s">
        <v>215</v>
      </c>
      <c r="B11" s="32">
        <v>0.23</v>
      </c>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amp;B24&amp;"*("&amp;C24&amp;")+"&amp;B25&amp;"*("&amp;C25&amp;")+"&amp;B26&amp;"*("&amp;C26&amp;")+"&amp;B27&amp;"*("&amp;C27&amp;")+"&amp;B28&amp;"*("&amp;C28&amp;"))"</f>
        <v xml:space="preserve"> =EXP(1*(-14.02)+tr*(0.2279)+pr*(2.784)+bw*(7.437)+tr*pr*(0.00696)+tr*bw*(-0.06091)+pr*bw*(0.3333)+tr^2*(-0.003908)+pr^2*(-0.2101)+bw^2*(-52.05)+lar*(-0.00007676)+tr*lar*(-0.000001416)+pr*lar*(0.00001478)+bw*lar*(-0.0001346)+lar^2*(-0.0000000004437))</v>
      </c>
      <c r="C12" s="49"/>
      <c r="D12" s="50"/>
      <c r="E12" s="49"/>
      <c r="F12" s="50"/>
      <c r="G12" s="51"/>
      <c r="H12" s="36">
        <f>19.55/2.3</f>
        <v>8.5000000000000018</v>
      </c>
      <c r="I12" s="38"/>
    </row>
    <row r="14" spans="1:15">
      <c r="A14" s="1">
        <v>1</v>
      </c>
      <c r="B14" s="24">
        <v>1</v>
      </c>
      <c r="C14" s="91">
        <v>-14.02</v>
      </c>
    </row>
    <row r="15" spans="1:15">
      <c r="A15" s="1">
        <v>20</v>
      </c>
      <c r="B15" s="24" t="s">
        <v>45</v>
      </c>
      <c r="C15" s="54">
        <v>0.22789999999999999</v>
      </c>
    </row>
    <row r="16" spans="1:15">
      <c r="A16" s="1">
        <v>7</v>
      </c>
      <c r="B16" s="24" t="s">
        <v>46</v>
      </c>
      <c r="C16" s="54">
        <v>2.7839999999999998</v>
      </c>
    </row>
    <row r="17" spans="1:11">
      <c r="A17" s="1">
        <v>0.5</v>
      </c>
      <c r="B17" s="24" t="s">
        <v>47</v>
      </c>
      <c r="C17" s="54">
        <v>7.4370000000000003</v>
      </c>
    </row>
    <row r="18" spans="1:11">
      <c r="A18" s="1">
        <f>A$15*A$16</f>
        <v>140</v>
      </c>
      <c r="B18" s="24" t="s">
        <v>222</v>
      </c>
      <c r="C18" s="54">
        <v>6.96E-3</v>
      </c>
    </row>
    <row r="19" spans="1:11">
      <c r="A19" s="1">
        <f>A$15*A$17</f>
        <v>10</v>
      </c>
      <c r="B19" s="24" t="s">
        <v>225</v>
      </c>
      <c r="C19" s="54">
        <v>-6.0909999999999999E-2</v>
      </c>
    </row>
    <row r="20" spans="1:11">
      <c r="A20" s="1">
        <f>A$16*A$17</f>
        <v>3.5</v>
      </c>
      <c r="B20" s="24" t="s">
        <v>227</v>
      </c>
      <c r="C20" s="54">
        <v>0.33329999999999999</v>
      </c>
    </row>
    <row r="21" spans="1:11">
      <c r="A21" s="1">
        <f>A$15^2</f>
        <v>400</v>
      </c>
      <c r="B21" s="24" t="s">
        <v>229</v>
      </c>
      <c r="C21" s="54">
        <v>-3.908E-3</v>
      </c>
    </row>
    <row r="22" spans="1:11">
      <c r="A22" s="1">
        <f>A$16^2</f>
        <v>49</v>
      </c>
      <c r="B22" s="24" t="s">
        <v>231</v>
      </c>
      <c r="C22" s="54">
        <v>-0.21010000000000001</v>
      </c>
    </row>
    <row r="23" spans="1:11">
      <c r="A23" s="1">
        <f>A$17^2</f>
        <v>0.25</v>
      </c>
      <c r="B23" s="24" t="s">
        <v>233</v>
      </c>
      <c r="C23" s="54">
        <v>-52.05</v>
      </c>
    </row>
    <row r="24" spans="1:11">
      <c r="A24" s="1">
        <v>20</v>
      </c>
      <c r="B24" s="24" t="s">
        <v>52</v>
      </c>
      <c r="C24" s="54">
        <v>-7.6760000000000004E-5</v>
      </c>
    </row>
    <row r="25" spans="1:11">
      <c r="A25" s="1">
        <f>A$15*A$24</f>
        <v>400</v>
      </c>
      <c r="B25" s="24" t="s">
        <v>252</v>
      </c>
      <c r="C25" s="54">
        <v>-1.4160000000000001E-6</v>
      </c>
    </row>
    <row r="26" spans="1:11">
      <c r="A26" s="1">
        <f>A$16*A$24</f>
        <v>140</v>
      </c>
      <c r="B26" s="24" t="s">
        <v>253</v>
      </c>
      <c r="C26" s="54">
        <v>1.4780000000000001E-5</v>
      </c>
    </row>
    <row r="27" spans="1:11">
      <c r="A27" s="1">
        <f>A$17*A$24</f>
        <v>10</v>
      </c>
      <c r="B27" s="24" t="s">
        <v>254</v>
      </c>
      <c r="C27" s="54">
        <v>-1.3459999999999999E-4</v>
      </c>
    </row>
    <row r="28" spans="1:11">
      <c r="A28" s="1">
        <f>A$24^2</f>
        <v>400</v>
      </c>
      <c r="B28" s="24" t="s">
        <v>255</v>
      </c>
      <c r="C28" s="54">
        <v>-4.4369999999999998E-10</v>
      </c>
    </row>
    <row r="30" spans="1:11">
      <c r="D30" s="124" t="s">
        <v>234</v>
      </c>
    </row>
    <row r="31" spans="1:11">
      <c r="D31">
        <v>5</v>
      </c>
      <c r="E31">
        <v>7.4</v>
      </c>
      <c r="F31">
        <v>0.999</v>
      </c>
      <c r="G31"/>
      <c r="K31">
        <v>0</v>
      </c>
    </row>
    <row r="32" spans="1:11">
      <c r="D32">
        <v>35</v>
      </c>
      <c r="E32">
        <v>6</v>
      </c>
      <c r="F32">
        <v>0.95</v>
      </c>
      <c r="G32"/>
      <c r="K32">
        <v>0</v>
      </c>
    </row>
    <row r="33" spans="4:11">
      <c r="D33">
        <v>25</v>
      </c>
      <c r="E33">
        <v>4.5999999999999996</v>
      </c>
      <c r="F33">
        <v>0.999</v>
      </c>
      <c r="G33"/>
      <c r="K33">
        <v>0</v>
      </c>
    </row>
    <row r="34" spans="4:11">
      <c r="D34">
        <v>25</v>
      </c>
      <c r="E34">
        <v>7.4</v>
      </c>
      <c r="F34">
        <v>0.999</v>
      </c>
      <c r="G34"/>
      <c r="K34">
        <v>0</v>
      </c>
    </row>
    <row r="35" spans="4:11">
      <c r="D35">
        <v>5</v>
      </c>
      <c r="E35">
        <v>7.4</v>
      </c>
      <c r="F35">
        <v>0.95</v>
      </c>
      <c r="G35"/>
      <c r="K35">
        <v>0</v>
      </c>
    </row>
    <row r="36" spans="4:11">
      <c r="D36">
        <v>35</v>
      </c>
      <c r="E36">
        <v>4.5999999999999996</v>
      </c>
      <c r="F36">
        <v>0.999</v>
      </c>
      <c r="G36"/>
      <c r="K36">
        <v>0</v>
      </c>
    </row>
    <row r="37" spans="4:11">
      <c r="D37">
        <v>35</v>
      </c>
      <c r="E37">
        <v>7.4</v>
      </c>
      <c r="F37">
        <v>0.999</v>
      </c>
      <c r="G37"/>
      <c r="K37">
        <v>0</v>
      </c>
    </row>
    <row r="38" spans="4:11">
      <c r="D38">
        <v>8</v>
      </c>
      <c r="E38">
        <v>4.5999999999999996</v>
      </c>
      <c r="F38">
        <v>0.999</v>
      </c>
      <c r="G38"/>
      <c r="K38">
        <v>0</v>
      </c>
    </row>
    <row r="39" spans="4:11">
      <c r="D39">
        <v>25</v>
      </c>
      <c r="E39">
        <v>4.9000000000000004</v>
      </c>
      <c r="F39">
        <v>0.95699999999999996</v>
      </c>
      <c r="G39"/>
      <c r="K39">
        <v>0</v>
      </c>
    </row>
    <row r="40" spans="4:11">
      <c r="D40">
        <v>35</v>
      </c>
      <c r="E40">
        <v>4.9000000000000004</v>
      </c>
      <c r="F40">
        <v>0.95699999999999996</v>
      </c>
      <c r="G40"/>
      <c r="K40">
        <v>0</v>
      </c>
    </row>
    <row r="41" spans="4:11">
      <c r="D41">
        <v>35</v>
      </c>
      <c r="E41">
        <v>7.4</v>
      </c>
      <c r="F41">
        <v>0.95</v>
      </c>
      <c r="G41"/>
      <c r="K41">
        <v>0</v>
      </c>
    </row>
    <row r="42" spans="4:11">
      <c r="D42">
        <v>10</v>
      </c>
      <c r="E42">
        <v>4.5</v>
      </c>
      <c r="F42">
        <v>0.999</v>
      </c>
      <c r="G42"/>
      <c r="K42">
        <v>0</v>
      </c>
    </row>
    <row r="43" spans="4:11">
      <c r="D43">
        <v>10</v>
      </c>
      <c r="E43">
        <v>4.5999999999999996</v>
      </c>
      <c r="F43">
        <v>0.97699999999999998</v>
      </c>
      <c r="G43"/>
      <c r="K43">
        <v>0</v>
      </c>
    </row>
    <row r="44" spans="4:11">
      <c r="D44">
        <v>10</v>
      </c>
      <c r="E44">
        <v>5.2</v>
      </c>
      <c r="F44">
        <v>0.95</v>
      </c>
      <c r="G44"/>
      <c r="K44">
        <v>0</v>
      </c>
    </row>
    <row r="45" spans="4:11">
      <c r="D45">
        <v>35</v>
      </c>
      <c r="E45">
        <v>4.5999999999999996</v>
      </c>
      <c r="F45">
        <v>0.97699999999999998</v>
      </c>
      <c r="G45"/>
      <c r="K45">
        <v>0</v>
      </c>
    </row>
    <row r="46" spans="4:11">
      <c r="D46">
        <v>4</v>
      </c>
      <c r="E46">
        <v>5</v>
      </c>
      <c r="F46">
        <v>0.999</v>
      </c>
      <c r="G46"/>
      <c r="K46">
        <v>0</v>
      </c>
    </row>
    <row r="47" spans="4:11">
      <c r="D47">
        <v>1</v>
      </c>
      <c r="E47">
        <v>5.6</v>
      </c>
      <c r="F47">
        <v>0.999</v>
      </c>
      <c r="G47"/>
      <c r="K47">
        <v>0</v>
      </c>
    </row>
    <row r="48" spans="4:11">
      <c r="D48">
        <v>1</v>
      </c>
      <c r="E48">
        <v>6.9</v>
      </c>
      <c r="F48">
        <v>0.999</v>
      </c>
      <c r="G48"/>
      <c r="K48">
        <v>0</v>
      </c>
    </row>
    <row r="49" spans="4:11">
      <c r="D49">
        <v>20</v>
      </c>
      <c r="E49">
        <v>4.4000000000000004</v>
      </c>
      <c r="F49">
        <v>0.999</v>
      </c>
      <c r="G49"/>
      <c r="K49">
        <v>0</v>
      </c>
    </row>
    <row r="50" spans="4:11">
      <c r="D50">
        <v>20</v>
      </c>
      <c r="E50">
        <v>7</v>
      </c>
      <c r="F50">
        <v>0.93500000000000005</v>
      </c>
      <c r="G50"/>
      <c r="K50">
        <v>0</v>
      </c>
    </row>
    <row r="51" spans="4:11">
      <c r="D51">
        <v>8</v>
      </c>
      <c r="E51">
        <v>7</v>
      </c>
      <c r="F51">
        <v>0.93500000000000005</v>
      </c>
      <c r="G51"/>
      <c r="K51">
        <v>0</v>
      </c>
    </row>
    <row r="52" spans="4:11">
      <c r="D52">
        <v>10</v>
      </c>
      <c r="E52">
        <v>6.4</v>
      </c>
      <c r="F52">
        <v>0.92400000000000004</v>
      </c>
      <c r="G52"/>
      <c r="K52">
        <v>0</v>
      </c>
    </row>
    <row r="53" spans="4:11">
      <c r="D53">
        <v>1</v>
      </c>
      <c r="E53">
        <v>6.9</v>
      </c>
      <c r="F53">
        <v>0.97399999999999998</v>
      </c>
      <c r="G53"/>
      <c r="K53">
        <v>0</v>
      </c>
    </row>
    <row r="54" spans="4:11">
      <c r="D54">
        <v>3</v>
      </c>
      <c r="E54">
        <v>6.3</v>
      </c>
      <c r="F54">
        <v>0.93100000000000005</v>
      </c>
      <c r="G54"/>
      <c r="K54">
        <v>0</v>
      </c>
    </row>
    <row r="55" spans="4:11">
      <c r="D55">
        <v>3</v>
      </c>
      <c r="E55">
        <v>6.8</v>
      </c>
      <c r="F55">
        <v>0.93100000000000005</v>
      </c>
      <c r="G55"/>
      <c r="K55">
        <v>0</v>
      </c>
    </row>
    <row r="56" spans="4:11">
      <c r="D56">
        <v>20</v>
      </c>
      <c r="E56">
        <v>5.6</v>
      </c>
      <c r="F56">
        <v>0.999</v>
      </c>
      <c r="G56"/>
      <c r="K56">
        <v>20000</v>
      </c>
    </row>
    <row r="57" spans="4:11">
      <c r="D57">
        <v>4</v>
      </c>
      <c r="E57">
        <v>5.5</v>
      </c>
      <c r="F57">
        <v>0.999</v>
      </c>
      <c r="G57"/>
      <c r="K57">
        <v>10000</v>
      </c>
    </row>
    <row r="58" spans="4:11">
      <c r="D58">
        <v>20</v>
      </c>
      <c r="E58">
        <v>8.1999999999999993</v>
      </c>
      <c r="F58">
        <v>0.999</v>
      </c>
      <c r="G58"/>
      <c r="K58">
        <v>10000</v>
      </c>
    </row>
    <row r="59" spans="4:11">
      <c r="D59">
        <v>8</v>
      </c>
      <c r="E59">
        <v>7.1</v>
      </c>
      <c r="F59">
        <v>0.999</v>
      </c>
      <c r="G59"/>
      <c r="K59">
        <v>20000</v>
      </c>
    </row>
    <row r="60" spans="4:11">
      <c r="D60">
        <v>20</v>
      </c>
      <c r="E60">
        <v>7.2</v>
      </c>
      <c r="F60">
        <v>0.999</v>
      </c>
      <c r="G60"/>
      <c r="K60">
        <v>20000</v>
      </c>
    </row>
    <row r="61" spans="4:11">
      <c r="D61">
        <v>12</v>
      </c>
      <c r="E61">
        <v>7</v>
      </c>
      <c r="F61">
        <v>0.999</v>
      </c>
      <c r="G61"/>
      <c r="K61">
        <v>20000</v>
      </c>
    </row>
    <row r="62" spans="4:11">
      <c r="D62">
        <v>8</v>
      </c>
      <c r="E62">
        <v>5.5</v>
      </c>
      <c r="F62">
        <v>0.999</v>
      </c>
      <c r="G62"/>
      <c r="K62">
        <v>15000</v>
      </c>
    </row>
    <row r="63" spans="4:11">
      <c r="D63">
        <v>1</v>
      </c>
      <c r="E63">
        <v>5.6</v>
      </c>
      <c r="F63">
        <v>0.999</v>
      </c>
      <c r="G63"/>
      <c r="K63">
        <v>5000</v>
      </c>
    </row>
    <row r="64" spans="4:11">
      <c r="D64">
        <v>4</v>
      </c>
      <c r="E64">
        <v>6.1</v>
      </c>
      <c r="F64">
        <v>0.999</v>
      </c>
      <c r="G64"/>
      <c r="K64">
        <v>20000</v>
      </c>
    </row>
    <row r="65" spans="4:11">
      <c r="D65">
        <v>1</v>
      </c>
      <c r="E65">
        <v>7</v>
      </c>
      <c r="F65">
        <v>0.999</v>
      </c>
      <c r="G65"/>
      <c r="K65">
        <v>20000</v>
      </c>
    </row>
    <row r="66" spans="4:11">
      <c r="D66">
        <v>1</v>
      </c>
      <c r="E66">
        <v>7</v>
      </c>
      <c r="F66">
        <v>0.999</v>
      </c>
      <c r="G66"/>
      <c r="K66">
        <v>10000</v>
      </c>
    </row>
    <row r="67" spans="4:11">
      <c r="D67">
        <v>8</v>
      </c>
      <c r="E67">
        <v>7</v>
      </c>
      <c r="F67">
        <v>0.97099999999999997</v>
      </c>
      <c r="G67"/>
      <c r="K67">
        <v>20000</v>
      </c>
    </row>
    <row r="68" spans="4:11">
      <c r="D68">
        <v>4</v>
      </c>
      <c r="E68">
        <v>6.8</v>
      </c>
      <c r="F68">
        <v>0.97099999999999997</v>
      </c>
      <c r="G68"/>
      <c r="K68">
        <v>20000</v>
      </c>
    </row>
    <row r="69" spans="4:11">
      <c r="D69">
        <v>2</v>
      </c>
      <c r="E69">
        <v>6.8</v>
      </c>
      <c r="F69">
        <v>0.97099999999999997</v>
      </c>
      <c r="G69"/>
      <c r="K69">
        <v>20000</v>
      </c>
    </row>
    <row r="70" spans="4:11">
      <c r="D70">
        <v>20</v>
      </c>
      <c r="E70">
        <v>5.8</v>
      </c>
      <c r="F70">
        <v>0.95399999999999996</v>
      </c>
      <c r="G70"/>
      <c r="K70">
        <v>15000</v>
      </c>
    </row>
    <row r="71" spans="4:11">
      <c r="D71">
        <v>4</v>
      </c>
      <c r="E71">
        <v>6</v>
      </c>
      <c r="F71">
        <v>0.98599999999999999</v>
      </c>
      <c r="G71"/>
      <c r="K71">
        <v>15000</v>
      </c>
    </row>
    <row r="72" spans="4:11">
      <c r="D72">
        <v>20</v>
      </c>
      <c r="E72">
        <v>7</v>
      </c>
      <c r="F72">
        <v>0.93500000000000005</v>
      </c>
      <c r="G72"/>
      <c r="K72">
        <v>20000</v>
      </c>
    </row>
    <row r="74" spans="4:11">
      <c r="D74" s="2" t="s">
        <v>235</v>
      </c>
    </row>
    <row r="75" spans="4:11">
      <c r="D75">
        <v>37</v>
      </c>
      <c r="E75">
        <v>4.9000000000000004</v>
      </c>
      <c r="F75">
        <v>0.95699999999999996</v>
      </c>
      <c r="K75">
        <v>0</v>
      </c>
    </row>
    <row r="76" spans="4:11">
      <c r="D76">
        <v>37</v>
      </c>
      <c r="E76">
        <v>4.5999999999999996</v>
      </c>
      <c r="F76">
        <v>0.97699999999999998</v>
      </c>
      <c r="K76">
        <v>0</v>
      </c>
    </row>
    <row r="77" spans="4:11">
      <c r="D77">
        <v>37</v>
      </c>
      <c r="E77">
        <v>4.4000000000000004</v>
      </c>
      <c r="F77">
        <v>0.999</v>
      </c>
      <c r="K77">
        <v>0</v>
      </c>
    </row>
    <row r="78" spans="4:11">
      <c r="D78">
        <v>10</v>
      </c>
      <c r="E78">
        <v>7</v>
      </c>
      <c r="F78">
        <v>0.92400000000000004</v>
      </c>
      <c r="K78">
        <v>0</v>
      </c>
    </row>
    <row r="79" spans="4:11">
      <c r="D79">
        <v>37</v>
      </c>
      <c r="E79">
        <v>6.4</v>
      </c>
      <c r="F79">
        <v>0.92400000000000004</v>
      </c>
      <c r="K79">
        <v>0</v>
      </c>
    </row>
    <row r="80" spans="4:11">
      <c r="D80">
        <v>37</v>
      </c>
      <c r="E80">
        <v>7</v>
      </c>
      <c r="F80">
        <v>0.92400000000000004</v>
      </c>
      <c r="K80">
        <v>0</v>
      </c>
    </row>
    <row r="81" spans="4:11">
      <c r="D81">
        <v>3</v>
      </c>
      <c r="E81">
        <v>7</v>
      </c>
      <c r="F81">
        <v>0.93100000000000005</v>
      </c>
      <c r="K81">
        <v>0</v>
      </c>
    </row>
    <row r="82" spans="4:11">
      <c r="D82">
        <v>37</v>
      </c>
      <c r="E82">
        <v>5.6</v>
      </c>
      <c r="F82">
        <v>0.999</v>
      </c>
      <c r="K82">
        <v>20000</v>
      </c>
    </row>
    <row r="83" spans="4:11">
      <c r="D83">
        <v>37</v>
      </c>
      <c r="E83">
        <v>8.1999999999999993</v>
      </c>
      <c r="F83">
        <v>0.999</v>
      </c>
      <c r="K83">
        <v>10000</v>
      </c>
    </row>
    <row r="84" spans="4:11">
      <c r="D84">
        <v>37</v>
      </c>
      <c r="E84">
        <v>8.1999999999999993</v>
      </c>
      <c r="F84">
        <v>0.999</v>
      </c>
      <c r="K84">
        <v>0</v>
      </c>
    </row>
    <row r="85" spans="4:11">
      <c r="D85">
        <v>37</v>
      </c>
      <c r="E85">
        <v>7.2</v>
      </c>
      <c r="F85">
        <v>0.999</v>
      </c>
      <c r="K85">
        <v>20000</v>
      </c>
    </row>
    <row r="86" spans="4:11">
      <c r="D86">
        <v>37</v>
      </c>
      <c r="E86">
        <v>5.8</v>
      </c>
      <c r="F86">
        <v>0.95399999999999996</v>
      </c>
      <c r="K86">
        <v>15000</v>
      </c>
    </row>
    <row r="87" spans="4:11">
      <c r="D87">
        <v>37</v>
      </c>
      <c r="E87">
        <v>7</v>
      </c>
      <c r="F87">
        <v>0.93500000000000005</v>
      </c>
      <c r="K87">
        <v>20000</v>
      </c>
    </row>
    <row r="88" spans="4:11">
      <c r="D88">
        <v>1</v>
      </c>
      <c r="E88">
        <v>5.0999999999999996</v>
      </c>
      <c r="F88">
        <v>0.999</v>
      </c>
      <c r="K88">
        <v>5000</v>
      </c>
    </row>
    <row r="89" spans="4:11">
      <c r="D89">
        <v>4</v>
      </c>
      <c r="E89">
        <v>5.5</v>
      </c>
      <c r="F89">
        <v>0.999</v>
      </c>
      <c r="K89">
        <v>20000</v>
      </c>
    </row>
    <row r="90" spans="4:11">
      <c r="D90">
        <v>1</v>
      </c>
      <c r="E90">
        <v>5.7</v>
      </c>
      <c r="F90">
        <v>0.999</v>
      </c>
      <c r="K90">
        <v>15000</v>
      </c>
    </row>
    <row r="91" spans="4:11">
      <c r="D91">
        <v>20</v>
      </c>
      <c r="E91">
        <v>6</v>
      </c>
      <c r="F91">
        <v>0.96199999999999997</v>
      </c>
      <c r="K91">
        <v>30000</v>
      </c>
    </row>
    <row r="92" spans="4:11">
      <c r="D92">
        <v>1</v>
      </c>
      <c r="E92">
        <v>6.1</v>
      </c>
      <c r="F92">
        <v>0.999</v>
      </c>
      <c r="K92">
        <v>20000</v>
      </c>
    </row>
    <row r="93" spans="4:11">
      <c r="D93">
        <v>20</v>
      </c>
      <c r="E93">
        <v>6.2</v>
      </c>
      <c r="F93">
        <v>0.999</v>
      </c>
      <c r="K93">
        <v>40000</v>
      </c>
    </row>
    <row r="94" spans="4:11">
      <c r="D94">
        <v>1</v>
      </c>
      <c r="E94">
        <v>7</v>
      </c>
      <c r="F94">
        <v>0.999</v>
      </c>
      <c r="K94">
        <v>20000</v>
      </c>
    </row>
    <row r="95" spans="4:11">
      <c r="D95">
        <v>1</v>
      </c>
      <c r="E95">
        <v>7.1</v>
      </c>
      <c r="F95">
        <v>0.93500000000000005</v>
      </c>
      <c r="K95">
        <v>20000</v>
      </c>
    </row>
    <row r="96" spans="4:11">
      <c r="D96">
        <v>20</v>
      </c>
      <c r="E96">
        <v>4.3</v>
      </c>
      <c r="F96">
        <v>0.999</v>
      </c>
      <c r="K96">
        <v>0</v>
      </c>
    </row>
    <row r="97" spans="4:11">
      <c r="D97">
        <v>10</v>
      </c>
      <c r="E97">
        <v>4.5</v>
      </c>
      <c r="F97">
        <v>0.97099999999999997</v>
      </c>
      <c r="K97">
        <v>0</v>
      </c>
    </row>
    <row r="98" spans="4:11">
      <c r="D98">
        <v>20</v>
      </c>
      <c r="E98">
        <v>4.5</v>
      </c>
      <c r="F98">
        <v>0.93500000000000005</v>
      </c>
      <c r="K98">
        <v>0</v>
      </c>
    </row>
    <row r="99" spans="4:11">
      <c r="D99">
        <v>8</v>
      </c>
      <c r="E99">
        <v>4.5</v>
      </c>
      <c r="F99">
        <v>0.999</v>
      </c>
      <c r="K99">
        <v>0</v>
      </c>
    </row>
    <row r="100" spans="4:11">
      <c r="D100">
        <v>4</v>
      </c>
      <c r="E100">
        <v>4.7</v>
      </c>
      <c r="F100">
        <v>0.999</v>
      </c>
      <c r="K100">
        <v>0</v>
      </c>
    </row>
    <row r="101" spans="4:11">
      <c r="D101">
        <v>3</v>
      </c>
      <c r="E101">
        <v>4.9000000000000004</v>
      </c>
      <c r="F101">
        <v>0.98599999999999999</v>
      </c>
      <c r="K101">
        <v>0</v>
      </c>
    </row>
    <row r="102" spans="4:11">
      <c r="D102">
        <v>10</v>
      </c>
      <c r="E102">
        <v>5</v>
      </c>
      <c r="F102">
        <v>0.93500000000000005</v>
      </c>
      <c r="K102">
        <v>0</v>
      </c>
    </row>
    <row r="103" spans="4:11">
      <c r="D103">
        <v>-0.2</v>
      </c>
      <c r="E103">
        <v>5.4</v>
      </c>
      <c r="F103">
        <v>0.999</v>
      </c>
      <c r="K103">
        <v>0</v>
      </c>
    </row>
    <row r="104" spans="4:11">
      <c r="D104">
        <v>0</v>
      </c>
      <c r="E104">
        <v>5.5</v>
      </c>
      <c r="F104">
        <v>0.97099999999999997</v>
      </c>
      <c r="K104">
        <v>0</v>
      </c>
    </row>
    <row r="105" spans="4:11">
      <c r="D105">
        <v>-1.5</v>
      </c>
      <c r="E105">
        <v>6.1</v>
      </c>
      <c r="F105">
        <v>0.999</v>
      </c>
      <c r="K105">
        <v>0</v>
      </c>
    </row>
    <row r="106" spans="4:11">
      <c r="D106">
        <v>3</v>
      </c>
      <c r="E106">
        <v>6.3</v>
      </c>
      <c r="F106">
        <v>0.92800000000000005</v>
      </c>
      <c r="K106">
        <v>0</v>
      </c>
    </row>
    <row r="107" spans="4:11">
      <c r="D107">
        <v>10</v>
      </c>
      <c r="E107">
        <v>6.4</v>
      </c>
      <c r="F107">
        <v>0.91900000000000004</v>
      </c>
      <c r="K107">
        <v>0</v>
      </c>
    </row>
    <row r="108" spans="4:11">
      <c r="D108">
        <v>3</v>
      </c>
      <c r="E108">
        <v>6.8</v>
      </c>
      <c r="F108">
        <v>0.92800000000000005</v>
      </c>
      <c r="K108">
        <v>0</v>
      </c>
    </row>
    <row r="109" spans="4:11">
      <c r="D109">
        <v>2</v>
      </c>
      <c r="E109">
        <v>6.9</v>
      </c>
      <c r="F109">
        <v>0.999</v>
      </c>
      <c r="K109">
        <v>0</v>
      </c>
    </row>
    <row r="110" spans="4:11">
      <c r="D110">
        <v>0</v>
      </c>
      <c r="E110">
        <v>7</v>
      </c>
      <c r="F110">
        <v>0.97099999999999997</v>
      </c>
      <c r="K110">
        <v>0</v>
      </c>
    </row>
    <row r="111" spans="4:11">
      <c r="D111">
        <v>1</v>
      </c>
      <c r="E111">
        <v>7</v>
      </c>
      <c r="F111">
        <v>0.93500000000000005</v>
      </c>
      <c r="K111">
        <v>0</v>
      </c>
    </row>
    <row r="112" spans="4:11">
      <c r="D112">
        <v>45</v>
      </c>
      <c r="E112">
        <v>7</v>
      </c>
      <c r="F112">
        <v>0.999</v>
      </c>
      <c r="K112">
        <v>0</v>
      </c>
    </row>
    <row r="113" spans="4:11">
      <c r="D113">
        <v>5</v>
      </c>
      <c r="E113">
        <v>8.9</v>
      </c>
      <c r="F113">
        <v>0.999</v>
      </c>
      <c r="K113">
        <v>0</v>
      </c>
    </row>
    <row r="115" spans="4:11">
      <c r="D115" s="2" t="s">
        <v>236</v>
      </c>
    </row>
    <row r="116" spans="4:11">
      <c r="D116">
        <v>47</v>
      </c>
      <c r="E116">
        <v>8.8000000000000007</v>
      </c>
      <c r="F116">
        <v>0.995</v>
      </c>
      <c r="G116"/>
      <c r="H116"/>
      <c r="I116"/>
      <c r="J116"/>
      <c r="K116">
        <v>0</v>
      </c>
    </row>
    <row r="117" spans="4:11">
      <c r="D117">
        <v>-5</v>
      </c>
      <c r="E117">
        <v>3.5</v>
      </c>
      <c r="F117">
        <v>1</v>
      </c>
      <c r="G117"/>
      <c r="H117"/>
      <c r="I117"/>
      <c r="J117"/>
      <c r="K117">
        <v>0</v>
      </c>
    </row>
    <row r="118" spans="4:11">
      <c r="D118">
        <v>-5</v>
      </c>
      <c r="E118">
        <v>3.5</v>
      </c>
      <c r="F118">
        <v>0.9</v>
      </c>
      <c r="G118"/>
      <c r="H118"/>
      <c r="I118"/>
      <c r="J118"/>
      <c r="K118">
        <v>0</v>
      </c>
    </row>
    <row r="119" spans="4:11">
      <c r="D119">
        <v>-5</v>
      </c>
      <c r="E119">
        <v>11</v>
      </c>
      <c r="F119">
        <v>1</v>
      </c>
      <c r="G119"/>
      <c r="H119"/>
      <c r="I119"/>
      <c r="J119"/>
      <c r="K119">
        <v>0</v>
      </c>
    </row>
    <row r="120" spans="4:11">
      <c r="D120">
        <v>-5</v>
      </c>
      <c r="E120">
        <v>11</v>
      </c>
      <c r="F120">
        <v>0.9</v>
      </c>
      <c r="G120"/>
      <c r="H120"/>
      <c r="I120"/>
      <c r="J120"/>
      <c r="K120">
        <v>0</v>
      </c>
    </row>
    <row r="121" spans="4:11">
      <c r="D121">
        <v>50</v>
      </c>
      <c r="E121">
        <v>3.5</v>
      </c>
      <c r="F121">
        <v>1</v>
      </c>
      <c r="G121"/>
      <c r="H121"/>
      <c r="I121"/>
      <c r="J121"/>
      <c r="K121">
        <v>0</v>
      </c>
    </row>
    <row r="122" spans="4:11">
      <c r="D122">
        <v>50</v>
      </c>
      <c r="E122">
        <v>11</v>
      </c>
      <c r="F122">
        <v>0.9</v>
      </c>
      <c r="G122"/>
      <c r="H122"/>
      <c r="I122"/>
      <c r="J122"/>
      <c r="K122">
        <v>0</v>
      </c>
    </row>
    <row r="123" spans="4:11">
      <c r="D123">
        <v>-5</v>
      </c>
      <c r="E123">
        <v>3.5</v>
      </c>
      <c r="F123">
        <v>1</v>
      </c>
      <c r="G123"/>
      <c r="H123"/>
      <c r="I123"/>
      <c r="J123"/>
      <c r="K123">
        <v>250000</v>
      </c>
    </row>
  </sheetData>
  <phoneticPr fontId="0" type="noConversion"/>
  <printOptions gridLines="1" gridLinesSet="0"/>
  <pageMargins left="0.75" right="0.75" top="1" bottom="1" header="0.5" footer="0.5"/>
  <pageSetup paperSize="9" orientation="portrait" horizontalDpi="4294967292" r:id="rId1"/>
  <headerFooter alignWithMargins="0">
    <oddHeader>&amp;A</oddHeader>
    <oddFooter>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P103"/>
  <sheetViews>
    <sheetView workbookViewId="0">
      <selection activeCell="E28" sqref="E28"/>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Orgs!B17</f>
        <v>Listeria monocytogenes + Acetic</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EXP(-3.95)</f>
        <v>1.925470177538692E-2</v>
      </c>
      <c r="D3" s="30">
        <v>20</v>
      </c>
      <c r="E3" s="30">
        <v>7</v>
      </c>
      <c r="F3" s="32" t="s">
        <v>201</v>
      </c>
      <c r="G3" s="30">
        <v>0.5</v>
      </c>
      <c r="H3" s="30"/>
      <c r="I3" s="30"/>
      <c r="J3" s="30">
        <v>0</v>
      </c>
      <c r="K3" s="30"/>
      <c r="L3" s="30"/>
      <c r="M3" s="30"/>
      <c r="N3" s="30"/>
      <c r="O3" s="33"/>
    </row>
    <row r="4" spans="1:15">
      <c r="A4" s="29" t="s">
        <v>202</v>
      </c>
      <c r="B4" s="30"/>
      <c r="C4" s="34"/>
      <c r="D4" s="30">
        <v>1</v>
      </c>
      <c r="E4" s="30">
        <v>4.4000000000000004</v>
      </c>
      <c r="F4" s="30"/>
      <c r="G4" s="30">
        <v>0</v>
      </c>
      <c r="H4" s="30"/>
      <c r="I4" s="30"/>
      <c r="J4" s="30">
        <v>0</v>
      </c>
      <c r="K4" s="30"/>
      <c r="L4" s="30"/>
      <c r="M4" s="30"/>
      <c r="N4" s="30"/>
      <c r="O4" s="33"/>
    </row>
    <row r="5" spans="1:15" ht="13.5" thickBot="1">
      <c r="A5" s="35" t="s">
        <v>203</v>
      </c>
      <c r="B5" s="36"/>
      <c r="C5" s="37"/>
      <c r="D5" s="36">
        <v>35</v>
      </c>
      <c r="E5" s="36">
        <v>7.5</v>
      </c>
      <c r="F5" s="36"/>
      <c r="G5" s="36">
        <v>11.5</v>
      </c>
      <c r="H5" s="36"/>
      <c r="I5" s="36"/>
      <c r="J5" s="36">
        <v>10000</v>
      </c>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211</v>
      </c>
      <c r="I8" s="36" t="s">
        <v>211</v>
      </c>
      <c r="J8" s="36" t="s">
        <v>256</v>
      </c>
      <c r="K8" s="36"/>
      <c r="L8" s="36" t="s">
        <v>211</v>
      </c>
      <c r="M8" s="36" t="s">
        <v>211</v>
      </c>
      <c r="N8" s="36" t="s">
        <v>211</v>
      </c>
      <c r="O8" s="38" t="s">
        <v>211</v>
      </c>
    </row>
    <row r="9" spans="1:15" ht="13.5" thickBot="1">
      <c r="A9" s="2" t="s">
        <v>212</v>
      </c>
      <c r="D9" s="2">
        <v>3</v>
      </c>
      <c r="E9" s="2">
        <v>1</v>
      </c>
      <c r="F9" s="2">
        <v>0.02</v>
      </c>
      <c r="J9" s="2">
        <v>2500</v>
      </c>
    </row>
    <row r="10" spans="1:15" ht="14.25">
      <c r="A10" s="39"/>
      <c r="B10" s="53" t="s">
        <v>213</v>
      </c>
      <c r="C10" s="27"/>
      <c r="D10" s="27"/>
      <c r="E10" s="43"/>
      <c r="F10" s="43"/>
      <c r="G10" s="44"/>
      <c r="H10" s="56" t="s">
        <v>214</v>
      </c>
      <c r="I10" s="45"/>
    </row>
    <row r="11" spans="1:15">
      <c r="A11" s="29" t="s">
        <v>215</v>
      </c>
      <c r="B11" s="32">
        <v>0.3</v>
      </c>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amp;B24&amp;"*("&amp;C24&amp;")+"&amp;B25&amp;"*("&amp;C25&amp;")+"&amp;B26&amp;"*("&amp;C26&amp;")+"&amp;B27&amp;"*("&amp;C27&amp;")+"&amp;B28&amp;"*("&amp;C28&amp;"))"</f>
        <v xml:space="preserve"> =EXP(1*(-14.02)+tr*(0.2279)+pr*(2.784)+bw*(7.437)+tr*pr*(0.00696)+tr*bw*(-0.06091)+pr*bw*(0.3333)+tr^2*(-0.003908)+pr^2*(-0.2101)+bw^2*(-52.05)+aar*(-0.001922)+tr*aar*(0.0000006843)+pr*aar*(0.000262)+bw*aar*(0)+aar^2*(0.000000006416))</v>
      </c>
      <c r="C12" s="49"/>
      <c r="D12" s="50"/>
      <c r="E12" s="49"/>
      <c r="F12" s="50"/>
      <c r="G12" s="51"/>
      <c r="H12" s="36">
        <f>19.55/2.3</f>
        <v>8.5000000000000018</v>
      </c>
      <c r="I12" s="38"/>
    </row>
    <row r="14" spans="1:15">
      <c r="A14" s="1">
        <v>1</v>
      </c>
      <c r="B14" s="24">
        <v>1</v>
      </c>
      <c r="C14" s="91">
        <v>-14.02</v>
      </c>
    </row>
    <row r="15" spans="1:15">
      <c r="A15" s="1">
        <v>20</v>
      </c>
      <c r="B15" s="24" t="s">
        <v>45</v>
      </c>
      <c r="C15" s="54">
        <v>0.22789999999999999</v>
      </c>
    </row>
    <row r="16" spans="1:15">
      <c r="A16" s="1">
        <v>7</v>
      </c>
      <c r="B16" s="24" t="s">
        <v>46</v>
      </c>
      <c r="C16" s="54">
        <v>2.7839999999999998</v>
      </c>
    </row>
    <row r="17" spans="1:10">
      <c r="A17" s="1">
        <v>0.5</v>
      </c>
      <c r="B17" s="24" t="s">
        <v>47</v>
      </c>
      <c r="C17" s="54">
        <v>7.4370000000000003</v>
      </c>
    </row>
    <row r="18" spans="1:10">
      <c r="A18" s="1">
        <f>A$15*A$16</f>
        <v>140</v>
      </c>
      <c r="B18" s="24" t="s">
        <v>222</v>
      </c>
      <c r="C18" s="54">
        <v>6.96E-3</v>
      </c>
    </row>
    <row r="19" spans="1:10">
      <c r="A19" s="1">
        <f>A$15*A$17</f>
        <v>10</v>
      </c>
      <c r="B19" s="24" t="s">
        <v>225</v>
      </c>
      <c r="C19" s="54">
        <v>-6.0909999999999999E-2</v>
      </c>
    </row>
    <row r="20" spans="1:10">
      <c r="A20" s="1">
        <f>A$16*A$17</f>
        <v>3.5</v>
      </c>
      <c r="B20" s="24" t="s">
        <v>227</v>
      </c>
      <c r="C20" s="54">
        <v>0.33329999999999999</v>
      </c>
    </row>
    <row r="21" spans="1:10">
      <c r="A21" s="1">
        <f>A$15^2</f>
        <v>400</v>
      </c>
      <c r="B21" s="24" t="s">
        <v>229</v>
      </c>
      <c r="C21" s="54">
        <v>-3.908E-3</v>
      </c>
    </row>
    <row r="22" spans="1:10">
      <c r="A22" s="1">
        <f>A$16^2</f>
        <v>49</v>
      </c>
      <c r="B22" s="24" t="s">
        <v>231</v>
      </c>
      <c r="C22" s="54">
        <v>-0.21010000000000001</v>
      </c>
    </row>
    <row r="23" spans="1:10">
      <c r="A23" s="1">
        <f>A$17^2</f>
        <v>0.25</v>
      </c>
      <c r="B23" s="24" t="s">
        <v>233</v>
      </c>
      <c r="C23" s="54">
        <v>-52.05</v>
      </c>
    </row>
    <row r="24" spans="1:10">
      <c r="A24" s="1">
        <v>20</v>
      </c>
      <c r="B24" s="24" t="s">
        <v>51</v>
      </c>
      <c r="C24" s="54">
        <v>-1.9220000000000001E-3</v>
      </c>
    </row>
    <row r="25" spans="1:10">
      <c r="A25" s="1">
        <f>A$15*A$24</f>
        <v>400</v>
      </c>
      <c r="B25" s="24" t="s">
        <v>257</v>
      </c>
      <c r="C25" s="54">
        <v>6.8429999999999995E-7</v>
      </c>
    </row>
    <row r="26" spans="1:10">
      <c r="A26" s="1">
        <f>A$16*A$24</f>
        <v>140</v>
      </c>
      <c r="B26" s="24" t="s">
        <v>258</v>
      </c>
      <c r="C26" s="54">
        <v>2.6200000000000003E-4</v>
      </c>
    </row>
    <row r="27" spans="1:10">
      <c r="A27" s="1">
        <f>A$17*A$24</f>
        <v>10</v>
      </c>
      <c r="B27" s="24" t="s">
        <v>259</v>
      </c>
      <c r="C27" s="54">
        <v>0</v>
      </c>
    </row>
    <row r="28" spans="1:10">
      <c r="A28" s="1">
        <f>A$24^2</f>
        <v>400</v>
      </c>
      <c r="B28" s="24" t="s">
        <v>260</v>
      </c>
      <c r="C28" s="54">
        <v>6.4160000000000002E-9</v>
      </c>
    </row>
    <row r="30" spans="1:10">
      <c r="D30" s="124" t="s">
        <v>234</v>
      </c>
    </row>
    <row r="31" spans="1:10">
      <c r="D31">
        <v>5</v>
      </c>
      <c r="E31">
        <v>7.4</v>
      </c>
      <c r="F31">
        <v>0.999</v>
      </c>
      <c r="G31"/>
      <c r="J31">
        <v>0</v>
      </c>
    </row>
    <row r="32" spans="1:10">
      <c r="D32">
        <v>35</v>
      </c>
      <c r="E32">
        <v>6</v>
      </c>
      <c r="F32">
        <v>0.95</v>
      </c>
      <c r="G32"/>
      <c r="J32">
        <v>0</v>
      </c>
    </row>
    <row r="33" spans="4:10">
      <c r="D33">
        <v>25</v>
      </c>
      <c r="E33">
        <v>4.5999999999999996</v>
      </c>
      <c r="F33">
        <v>0.999</v>
      </c>
      <c r="G33"/>
      <c r="J33">
        <v>0</v>
      </c>
    </row>
    <row r="34" spans="4:10">
      <c r="D34">
        <v>25</v>
      </c>
      <c r="E34">
        <v>7.4</v>
      </c>
      <c r="F34">
        <v>0.999</v>
      </c>
      <c r="G34"/>
      <c r="J34">
        <v>0</v>
      </c>
    </row>
    <row r="35" spans="4:10">
      <c r="D35">
        <v>5</v>
      </c>
      <c r="E35">
        <v>7.4</v>
      </c>
      <c r="F35">
        <v>0.95</v>
      </c>
      <c r="G35"/>
      <c r="J35">
        <v>0</v>
      </c>
    </row>
    <row r="36" spans="4:10">
      <c r="D36">
        <v>35</v>
      </c>
      <c r="E36">
        <v>4.5999999999999996</v>
      </c>
      <c r="F36">
        <v>0.999</v>
      </c>
      <c r="G36"/>
      <c r="J36">
        <v>0</v>
      </c>
    </row>
    <row r="37" spans="4:10">
      <c r="D37">
        <v>35</v>
      </c>
      <c r="E37">
        <v>7.4</v>
      </c>
      <c r="F37">
        <v>0.999</v>
      </c>
      <c r="G37"/>
      <c r="J37">
        <v>0</v>
      </c>
    </row>
    <row r="38" spans="4:10">
      <c r="D38">
        <v>8</v>
      </c>
      <c r="E38">
        <v>4.5999999999999996</v>
      </c>
      <c r="F38">
        <v>0.999</v>
      </c>
      <c r="G38"/>
      <c r="J38">
        <v>0</v>
      </c>
    </row>
    <row r="39" spans="4:10">
      <c r="D39">
        <v>25</v>
      </c>
      <c r="E39">
        <v>4.9000000000000004</v>
      </c>
      <c r="F39">
        <v>0.95699999999999996</v>
      </c>
      <c r="G39"/>
      <c r="J39">
        <v>0</v>
      </c>
    </row>
    <row r="40" spans="4:10">
      <c r="D40">
        <v>35</v>
      </c>
      <c r="E40">
        <v>4.9000000000000004</v>
      </c>
      <c r="F40">
        <v>0.95699999999999996</v>
      </c>
      <c r="G40"/>
      <c r="J40">
        <v>0</v>
      </c>
    </row>
    <row r="41" spans="4:10">
      <c r="D41">
        <v>35</v>
      </c>
      <c r="E41">
        <v>7.4</v>
      </c>
      <c r="F41">
        <v>0.95</v>
      </c>
      <c r="G41"/>
      <c r="J41">
        <v>0</v>
      </c>
    </row>
    <row r="42" spans="4:10">
      <c r="D42">
        <v>10</v>
      </c>
      <c r="E42">
        <v>4.5</v>
      </c>
      <c r="F42">
        <v>0.999</v>
      </c>
      <c r="G42"/>
      <c r="J42">
        <v>0</v>
      </c>
    </row>
    <row r="43" spans="4:10">
      <c r="D43">
        <v>10</v>
      </c>
      <c r="E43">
        <v>4.5999999999999996</v>
      </c>
      <c r="F43">
        <v>0.97699999999999998</v>
      </c>
      <c r="G43"/>
      <c r="J43">
        <v>0</v>
      </c>
    </row>
    <row r="44" spans="4:10">
      <c r="D44">
        <v>10</v>
      </c>
      <c r="E44">
        <v>5.2</v>
      </c>
      <c r="F44">
        <v>0.95</v>
      </c>
      <c r="G44"/>
      <c r="J44">
        <v>0</v>
      </c>
    </row>
    <row r="45" spans="4:10">
      <c r="D45">
        <v>35</v>
      </c>
      <c r="E45">
        <v>4.5999999999999996</v>
      </c>
      <c r="F45">
        <v>0.97699999999999998</v>
      </c>
      <c r="G45"/>
      <c r="J45">
        <v>0</v>
      </c>
    </row>
    <row r="46" spans="4:10">
      <c r="D46">
        <v>4</v>
      </c>
      <c r="E46">
        <v>5</v>
      </c>
      <c r="F46">
        <v>0.999</v>
      </c>
      <c r="G46"/>
      <c r="J46">
        <v>0</v>
      </c>
    </row>
    <row r="47" spans="4:10">
      <c r="D47">
        <v>1</v>
      </c>
      <c r="E47">
        <v>5.6</v>
      </c>
      <c r="F47">
        <v>0.999</v>
      </c>
      <c r="G47"/>
      <c r="J47">
        <v>0</v>
      </c>
    </row>
    <row r="48" spans="4:10">
      <c r="D48">
        <v>1</v>
      </c>
      <c r="E48">
        <v>6.9</v>
      </c>
      <c r="F48">
        <v>0.999</v>
      </c>
      <c r="G48"/>
      <c r="J48">
        <v>0</v>
      </c>
    </row>
    <row r="49" spans="4:10">
      <c r="D49">
        <v>20</v>
      </c>
      <c r="E49">
        <v>4.4000000000000004</v>
      </c>
      <c r="F49">
        <v>0.999</v>
      </c>
      <c r="G49"/>
      <c r="J49">
        <v>0</v>
      </c>
    </row>
    <row r="50" spans="4:10">
      <c r="D50">
        <v>20</v>
      </c>
      <c r="E50">
        <v>7</v>
      </c>
      <c r="F50">
        <v>0.93500000000000005</v>
      </c>
      <c r="G50"/>
      <c r="J50">
        <v>0</v>
      </c>
    </row>
    <row r="51" spans="4:10">
      <c r="D51">
        <v>8</v>
      </c>
      <c r="E51">
        <v>7</v>
      </c>
      <c r="F51">
        <v>0.93500000000000005</v>
      </c>
      <c r="G51"/>
      <c r="J51">
        <v>0</v>
      </c>
    </row>
    <row r="52" spans="4:10">
      <c r="D52">
        <v>10</v>
      </c>
      <c r="E52">
        <v>6.4</v>
      </c>
      <c r="F52">
        <v>0.92400000000000004</v>
      </c>
      <c r="G52"/>
      <c r="J52">
        <v>0</v>
      </c>
    </row>
    <row r="53" spans="4:10">
      <c r="D53">
        <v>1</v>
      </c>
      <c r="E53">
        <v>6.9</v>
      </c>
      <c r="F53">
        <v>0.97399999999999998</v>
      </c>
      <c r="G53"/>
      <c r="J53">
        <v>0</v>
      </c>
    </row>
    <row r="54" spans="4:10">
      <c r="D54">
        <v>3</v>
      </c>
      <c r="E54">
        <v>6.3</v>
      </c>
      <c r="F54">
        <v>0.93100000000000005</v>
      </c>
      <c r="G54"/>
      <c r="J54">
        <v>0</v>
      </c>
    </row>
    <row r="55" spans="4:10">
      <c r="D55">
        <v>3</v>
      </c>
      <c r="E55">
        <v>6.8</v>
      </c>
      <c r="F55">
        <v>0.93100000000000005</v>
      </c>
      <c r="G55"/>
      <c r="J55">
        <v>0</v>
      </c>
    </row>
    <row r="56" spans="4:10">
      <c r="D56">
        <v>12</v>
      </c>
      <c r="E56">
        <v>6</v>
      </c>
      <c r="F56">
        <v>0.999</v>
      </c>
      <c r="G56"/>
      <c r="J56">
        <v>10000</v>
      </c>
    </row>
    <row r="57" spans="4:10">
      <c r="D57">
        <v>20</v>
      </c>
      <c r="E57">
        <v>7</v>
      </c>
      <c r="F57">
        <v>0.999</v>
      </c>
      <c r="G57"/>
      <c r="J57">
        <v>10000</v>
      </c>
    </row>
    <row r="58" spans="4:10">
      <c r="D58">
        <v>4</v>
      </c>
      <c r="E58">
        <v>7</v>
      </c>
      <c r="F58">
        <v>0.999</v>
      </c>
      <c r="G58"/>
      <c r="J58">
        <v>10000</v>
      </c>
    </row>
    <row r="59" spans="4:10">
      <c r="D59">
        <v>20</v>
      </c>
      <c r="E59">
        <v>6</v>
      </c>
      <c r="F59">
        <v>0.999</v>
      </c>
      <c r="G59"/>
      <c r="J59">
        <v>10000</v>
      </c>
    </row>
    <row r="60" spans="4:10">
      <c r="D60">
        <v>4</v>
      </c>
      <c r="E60">
        <v>6.5</v>
      </c>
      <c r="F60">
        <v>0.999</v>
      </c>
      <c r="G60"/>
      <c r="J60">
        <v>8500</v>
      </c>
    </row>
    <row r="62" spans="4:10">
      <c r="D62" s="2" t="s">
        <v>235</v>
      </c>
    </row>
    <row r="63" spans="4:10">
      <c r="D63">
        <v>37</v>
      </c>
      <c r="E63">
        <v>4.9000000000000004</v>
      </c>
      <c r="F63">
        <v>0.95699999999999996</v>
      </c>
      <c r="J63">
        <v>0</v>
      </c>
    </row>
    <row r="64" spans="4:10">
      <c r="D64">
        <v>37</v>
      </c>
      <c r="E64">
        <v>4.5999999999999996</v>
      </c>
      <c r="F64">
        <v>0.97699999999999998</v>
      </c>
      <c r="J64">
        <v>0</v>
      </c>
    </row>
    <row r="65" spans="4:10">
      <c r="D65">
        <v>37</v>
      </c>
      <c r="E65">
        <v>4.4000000000000004</v>
      </c>
      <c r="F65">
        <v>0.999</v>
      </c>
      <c r="J65">
        <v>0</v>
      </c>
    </row>
    <row r="66" spans="4:10">
      <c r="D66">
        <v>10</v>
      </c>
      <c r="E66">
        <v>7</v>
      </c>
      <c r="F66">
        <v>0.92400000000000004</v>
      </c>
      <c r="J66">
        <v>0</v>
      </c>
    </row>
    <row r="67" spans="4:10">
      <c r="D67">
        <v>37</v>
      </c>
      <c r="E67">
        <v>6.4</v>
      </c>
      <c r="F67">
        <v>0.92400000000000004</v>
      </c>
      <c r="J67">
        <v>0</v>
      </c>
    </row>
    <row r="68" spans="4:10">
      <c r="D68">
        <v>37</v>
      </c>
      <c r="E68">
        <v>7</v>
      </c>
      <c r="F68">
        <v>0.92400000000000004</v>
      </c>
      <c r="J68">
        <v>0</v>
      </c>
    </row>
    <row r="69" spans="4:10">
      <c r="D69">
        <v>3</v>
      </c>
      <c r="E69">
        <v>7</v>
      </c>
      <c r="F69">
        <v>0.93100000000000005</v>
      </c>
      <c r="J69">
        <v>0</v>
      </c>
    </row>
    <row r="70" spans="4:10">
      <c r="D70">
        <v>37</v>
      </c>
      <c r="E70">
        <v>7</v>
      </c>
      <c r="F70">
        <v>0.999</v>
      </c>
      <c r="J70">
        <v>10000</v>
      </c>
    </row>
    <row r="71" spans="4:10">
      <c r="D71">
        <v>37</v>
      </c>
      <c r="E71">
        <v>6</v>
      </c>
      <c r="F71">
        <v>0.999</v>
      </c>
      <c r="J71">
        <v>10000</v>
      </c>
    </row>
    <row r="72" spans="4:10">
      <c r="D72">
        <v>4</v>
      </c>
      <c r="E72">
        <v>6.5</v>
      </c>
      <c r="F72">
        <v>0.999</v>
      </c>
      <c r="J72">
        <v>8500</v>
      </c>
    </row>
    <row r="73" spans="4:10">
      <c r="D73">
        <v>20</v>
      </c>
      <c r="E73">
        <v>4.3</v>
      </c>
      <c r="F73">
        <v>0.999</v>
      </c>
      <c r="J73">
        <v>0</v>
      </c>
    </row>
    <row r="74" spans="4:10">
      <c r="D74">
        <v>10</v>
      </c>
      <c r="E74">
        <v>4.5</v>
      </c>
      <c r="F74">
        <v>0.97099999999999997</v>
      </c>
      <c r="J74">
        <v>0</v>
      </c>
    </row>
    <row r="75" spans="4:10">
      <c r="D75">
        <v>20</v>
      </c>
      <c r="E75">
        <v>4.5</v>
      </c>
      <c r="F75">
        <v>0.93500000000000005</v>
      </c>
      <c r="J75">
        <v>0</v>
      </c>
    </row>
    <row r="76" spans="4:10">
      <c r="D76">
        <v>8</v>
      </c>
      <c r="E76">
        <v>4.5</v>
      </c>
      <c r="F76">
        <v>0.999</v>
      </c>
      <c r="J76">
        <v>0</v>
      </c>
    </row>
    <row r="77" spans="4:10">
      <c r="D77">
        <v>4</v>
      </c>
      <c r="E77">
        <v>4.7</v>
      </c>
      <c r="F77">
        <v>0.999</v>
      </c>
      <c r="J77">
        <v>0</v>
      </c>
    </row>
    <row r="78" spans="4:10">
      <c r="D78">
        <v>3</v>
      </c>
      <c r="E78">
        <v>4.9000000000000004</v>
      </c>
      <c r="F78">
        <v>0.98599999999999999</v>
      </c>
      <c r="J78">
        <v>0</v>
      </c>
    </row>
    <row r="79" spans="4:10">
      <c r="D79">
        <v>10</v>
      </c>
      <c r="E79">
        <v>5</v>
      </c>
      <c r="F79">
        <v>0.93500000000000005</v>
      </c>
      <c r="J79">
        <v>0</v>
      </c>
    </row>
    <row r="80" spans="4:10">
      <c r="D80">
        <v>-0.2</v>
      </c>
      <c r="E80">
        <v>5.4</v>
      </c>
      <c r="F80">
        <v>0.999</v>
      </c>
      <c r="J80">
        <v>0</v>
      </c>
    </row>
    <row r="81" spans="4:16">
      <c r="D81">
        <v>0</v>
      </c>
      <c r="E81">
        <v>5.5</v>
      </c>
      <c r="F81">
        <v>0.97099999999999997</v>
      </c>
      <c r="J81">
        <v>0</v>
      </c>
    </row>
    <row r="82" spans="4:16">
      <c r="D82">
        <v>-1.5</v>
      </c>
      <c r="E82">
        <v>6.1</v>
      </c>
      <c r="F82">
        <v>0.999</v>
      </c>
      <c r="J82">
        <v>0</v>
      </c>
    </row>
    <row r="83" spans="4:16">
      <c r="D83">
        <v>3</v>
      </c>
      <c r="E83">
        <v>6.3</v>
      </c>
      <c r="F83">
        <v>0.92800000000000005</v>
      </c>
      <c r="J83">
        <v>0</v>
      </c>
    </row>
    <row r="84" spans="4:16">
      <c r="D84">
        <v>10</v>
      </c>
      <c r="E84">
        <v>6.4</v>
      </c>
      <c r="F84">
        <v>0.91900000000000004</v>
      </c>
      <c r="J84">
        <v>0</v>
      </c>
    </row>
    <row r="85" spans="4:16">
      <c r="D85">
        <v>3</v>
      </c>
      <c r="E85">
        <v>6.8</v>
      </c>
      <c r="F85">
        <v>0.92800000000000005</v>
      </c>
      <c r="J85">
        <v>0</v>
      </c>
    </row>
    <row r="86" spans="4:16">
      <c r="D86">
        <v>2</v>
      </c>
      <c r="E86">
        <v>6.9</v>
      </c>
      <c r="F86">
        <v>0.999</v>
      </c>
      <c r="J86">
        <v>0</v>
      </c>
    </row>
    <row r="87" spans="4:16">
      <c r="D87">
        <v>0</v>
      </c>
      <c r="E87">
        <v>7</v>
      </c>
      <c r="F87">
        <v>0.97099999999999997</v>
      </c>
      <c r="J87">
        <v>0</v>
      </c>
    </row>
    <row r="88" spans="4:16">
      <c r="D88">
        <v>1</v>
      </c>
      <c r="E88">
        <v>7</v>
      </c>
      <c r="F88">
        <v>0.93500000000000005</v>
      </c>
      <c r="J88">
        <v>0</v>
      </c>
    </row>
    <row r="89" spans="4:16">
      <c r="D89">
        <v>45</v>
      </c>
      <c r="E89">
        <v>7</v>
      </c>
      <c r="F89">
        <v>0.999</v>
      </c>
      <c r="J89">
        <v>0</v>
      </c>
    </row>
    <row r="90" spans="4:16">
      <c r="D90">
        <v>5</v>
      </c>
      <c r="E90">
        <v>8.9</v>
      </c>
      <c r="F90">
        <v>0.999</v>
      </c>
      <c r="J90">
        <v>0</v>
      </c>
    </row>
    <row r="91" spans="4:16">
      <c r="D91">
        <v>30</v>
      </c>
      <c r="E91">
        <v>9.1999999999999993</v>
      </c>
      <c r="F91">
        <v>0.999</v>
      </c>
      <c r="J91">
        <v>0</v>
      </c>
    </row>
    <row r="92" spans="4:16">
      <c r="D92">
        <v>12</v>
      </c>
      <c r="E92">
        <v>6</v>
      </c>
      <c r="F92">
        <v>0.999</v>
      </c>
      <c r="J92">
        <v>10000</v>
      </c>
    </row>
    <row r="93" spans="4:16">
      <c r="D93">
        <v>4</v>
      </c>
      <c r="E93">
        <v>7</v>
      </c>
      <c r="F93">
        <v>0.999</v>
      </c>
      <c r="J93">
        <v>10000</v>
      </c>
    </row>
    <row r="94" spans="4:16">
      <c r="M94"/>
      <c r="N94"/>
      <c r="O94"/>
      <c r="P94"/>
    </row>
    <row r="95" spans="4:16">
      <c r="D95" s="2" t="s">
        <v>236</v>
      </c>
    </row>
    <row r="96" spans="4:16">
      <c r="D96">
        <v>-5</v>
      </c>
      <c r="E96">
        <v>3.5</v>
      </c>
      <c r="F96">
        <v>0.9</v>
      </c>
      <c r="G96"/>
      <c r="H96"/>
      <c r="J96">
        <v>0</v>
      </c>
    </row>
    <row r="97" spans="4:10">
      <c r="D97">
        <v>-5</v>
      </c>
      <c r="E97">
        <v>3.5</v>
      </c>
      <c r="F97">
        <v>1</v>
      </c>
      <c r="G97"/>
      <c r="H97"/>
      <c r="J97">
        <v>0</v>
      </c>
    </row>
    <row r="98" spans="4:10">
      <c r="D98">
        <v>-5</v>
      </c>
      <c r="E98">
        <v>11</v>
      </c>
      <c r="F98">
        <v>1</v>
      </c>
      <c r="G98"/>
      <c r="H98"/>
      <c r="J98">
        <v>0</v>
      </c>
    </row>
    <row r="99" spans="4:10">
      <c r="D99">
        <v>0</v>
      </c>
      <c r="E99">
        <v>9.1999999999999993</v>
      </c>
      <c r="F99">
        <v>0.95699999999999996</v>
      </c>
      <c r="G99"/>
      <c r="H99"/>
      <c r="J99">
        <v>0</v>
      </c>
    </row>
    <row r="100" spans="4:10">
      <c r="D100">
        <v>47</v>
      </c>
      <c r="E100">
        <v>8.8000000000000007</v>
      </c>
      <c r="F100">
        <v>0.995</v>
      </c>
      <c r="G100"/>
      <c r="H100"/>
      <c r="J100">
        <v>0</v>
      </c>
    </row>
    <row r="101" spans="4:10">
      <c r="D101">
        <v>50</v>
      </c>
      <c r="E101">
        <v>3.5</v>
      </c>
      <c r="F101">
        <v>1</v>
      </c>
      <c r="G101"/>
      <c r="H101"/>
      <c r="J101">
        <v>0</v>
      </c>
    </row>
    <row r="102" spans="4:10">
      <c r="D102">
        <v>50</v>
      </c>
      <c r="E102">
        <v>11</v>
      </c>
      <c r="F102">
        <v>0.9</v>
      </c>
      <c r="G102"/>
      <c r="H102"/>
      <c r="J102">
        <v>0</v>
      </c>
    </row>
    <row r="103" spans="4:10">
      <c r="D103">
        <v>50</v>
      </c>
      <c r="E103">
        <v>11</v>
      </c>
      <c r="F103">
        <v>1</v>
      </c>
      <c r="G103"/>
      <c r="H103"/>
      <c r="J103">
        <v>100000</v>
      </c>
    </row>
  </sheetData>
  <phoneticPr fontId="0" type="noConversion"/>
  <printOptions gridLines="1" gridLinesSet="0"/>
  <pageMargins left="0.75" right="0.75" top="1" bottom="1" header="0.5" footer="0.5"/>
  <pageSetup paperSize="9" orientation="portrait" horizontalDpi="4294967292" r:id="rId1"/>
  <headerFooter alignWithMargins="0">
    <oddHeader>&amp;A</oddHeader>
    <oddFooter>Page &amp;P</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O136"/>
  <sheetViews>
    <sheetView workbookViewId="0">
      <selection activeCell="E28" sqref="E28"/>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Orgs!B18</f>
        <v>Staphylococcus aureas</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EXP(-3.1)</f>
        <v>4.5049202393557801E-2</v>
      </c>
      <c r="D3" s="30">
        <v>20</v>
      </c>
      <c r="E3" s="30">
        <v>7</v>
      </c>
      <c r="F3" s="32" t="s">
        <v>201</v>
      </c>
      <c r="G3" s="30">
        <v>0.5</v>
      </c>
      <c r="H3" s="30"/>
      <c r="I3" s="30"/>
      <c r="J3" s="30"/>
      <c r="K3" s="30"/>
      <c r="L3" s="30"/>
      <c r="M3" s="30"/>
      <c r="N3" s="30"/>
      <c r="O3" s="33"/>
    </row>
    <row r="4" spans="1:15">
      <c r="A4" s="29" t="s">
        <v>202</v>
      </c>
      <c r="B4" s="30"/>
      <c r="C4" s="34"/>
      <c r="D4" s="30">
        <v>7.5</v>
      </c>
      <c r="E4" s="30">
        <v>4.3</v>
      </c>
      <c r="F4" s="30"/>
      <c r="G4" s="30">
        <v>0</v>
      </c>
      <c r="H4" s="30"/>
      <c r="I4" s="30"/>
      <c r="J4" s="30"/>
      <c r="K4" s="30"/>
      <c r="L4" s="30"/>
      <c r="M4" s="30"/>
      <c r="N4" s="30"/>
      <c r="O4" s="33"/>
    </row>
    <row r="5" spans="1:15" ht="13.5" thickBot="1">
      <c r="A5" s="35" t="s">
        <v>203</v>
      </c>
      <c r="B5" s="36"/>
      <c r="C5" s="37"/>
      <c r="D5" s="36">
        <v>30</v>
      </c>
      <c r="E5" s="36">
        <v>7.1</v>
      </c>
      <c r="F5" s="36"/>
      <c r="G5" s="36">
        <v>13.5</v>
      </c>
      <c r="H5" s="36"/>
      <c r="I5" s="36"/>
      <c r="J5" s="36"/>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c r="A9" s="2" t="s">
        <v>212</v>
      </c>
      <c r="D9" s="2">
        <v>3</v>
      </c>
      <c r="E9" s="2">
        <v>0.8</v>
      </c>
      <c r="F9" s="2">
        <v>0.03</v>
      </c>
    </row>
    <row r="10" spans="1:15" ht="14.25">
      <c r="A10" s="39"/>
      <c r="B10" s="53" t="s">
        <v>213</v>
      </c>
      <c r="C10" s="27"/>
      <c r="D10" s="27"/>
      <c r="E10" s="43"/>
      <c r="F10" s="43"/>
      <c r="G10" s="44"/>
      <c r="H10" s="56" t="s">
        <v>214</v>
      </c>
      <c r="I10" s="45"/>
    </row>
    <row r="11" spans="1:15">
      <c r="A11" s="29" t="s">
        <v>215</v>
      </c>
      <c r="B11" s="32">
        <v>0.26</v>
      </c>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f>
        <v xml:space="preserve"> =EXP(1*(-18.95)+tr*(0.3398)+pr*(4.228)+bw*(-3.485)+tr*pr*(0.004555)+tr*bw*(0.05518)+pr*bw*(1.046)+tr^2*(-0.00536)+pr^2*(-0.3473)+bw^2*(-25.02))</v>
      </c>
      <c r="C12" s="49"/>
      <c r="D12" s="50"/>
      <c r="E12" s="49"/>
      <c r="F12" s="50"/>
      <c r="G12" s="51"/>
      <c r="H12" s="36">
        <f>18.6/2.3</f>
        <v>8.0869565217391308</v>
      </c>
      <c r="I12" s="38"/>
    </row>
    <row r="13" spans="1:15" ht="13.5" thickBot="1"/>
    <row r="14" spans="1:15">
      <c r="A14" s="1">
        <v>1</v>
      </c>
      <c r="B14" s="24">
        <v>1</v>
      </c>
      <c r="C14" s="54">
        <v>-18.95</v>
      </c>
      <c r="F14" s="194"/>
      <c r="G14" s="195"/>
      <c r="H14" s="195"/>
      <c r="I14" s="195"/>
      <c r="J14" s="195"/>
      <c r="K14" s="195"/>
      <c r="L14" s="195"/>
      <c r="M14" s="195"/>
      <c r="N14" s="195"/>
      <c r="O14" s="196"/>
    </row>
    <row r="15" spans="1:15">
      <c r="A15" s="1">
        <v>20</v>
      </c>
      <c r="B15" s="24" t="s">
        <v>45</v>
      </c>
      <c r="C15" s="54">
        <v>0.33979999999999999</v>
      </c>
      <c r="F15" s="197" t="s">
        <v>202</v>
      </c>
      <c r="G15" s="30" t="s">
        <v>203</v>
      </c>
      <c r="H15" s="30"/>
      <c r="I15" s="30"/>
      <c r="J15" s="30"/>
      <c r="K15" s="30"/>
      <c r="L15" s="198" t="s">
        <v>217</v>
      </c>
      <c r="M15" s="30">
        <v>19.1617</v>
      </c>
      <c r="N15" s="30"/>
      <c r="O15" s="33"/>
    </row>
    <row r="16" spans="1:15">
      <c r="A16" s="1">
        <v>7</v>
      </c>
      <c r="B16" s="24" t="s">
        <v>46</v>
      </c>
      <c r="C16" s="54">
        <v>4.2279999999999998</v>
      </c>
      <c r="F16" s="197">
        <v>7.5</v>
      </c>
      <c r="G16" s="30">
        <v>37</v>
      </c>
      <c r="H16" s="30"/>
      <c r="I16" s="198" t="s">
        <v>218</v>
      </c>
      <c r="J16" s="30">
        <v>5.5</v>
      </c>
      <c r="K16" s="30"/>
      <c r="L16" s="30" t="s">
        <v>219</v>
      </c>
      <c r="M16" s="30">
        <v>0</v>
      </c>
      <c r="N16" s="30"/>
      <c r="O16" s="33"/>
    </row>
    <row r="17" spans="1:15">
      <c r="A17" s="1">
        <v>0.5</v>
      </c>
      <c r="B17" s="24" t="s">
        <v>47</v>
      </c>
      <c r="C17" s="54">
        <v>-3.4849999999999999</v>
      </c>
      <c r="F17" s="197">
        <v>3.9</v>
      </c>
      <c r="G17" s="30">
        <v>7.5</v>
      </c>
      <c r="H17" s="30"/>
      <c r="I17" s="198" t="s">
        <v>220</v>
      </c>
      <c r="J17" s="30">
        <v>3.8</v>
      </c>
      <c r="K17" s="30"/>
      <c r="L17" s="30" t="s">
        <v>221</v>
      </c>
      <c r="M17" s="30">
        <v>78.481200000000001</v>
      </c>
      <c r="N17" s="30"/>
      <c r="O17" s="33"/>
    </row>
    <row r="18" spans="1:15">
      <c r="A18" s="1">
        <f>A$15*A$16</f>
        <v>140</v>
      </c>
      <c r="B18" s="24" t="s">
        <v>222</v>
      </c>
      <c r="C18" s="54">
        <v>4.555E-3</v>
      </c>
      <c r="F18" s="197">
        <v>0.88</v>
      </c>
      <c r="G18" s="30">
        <v>1</v>
      </c>
      <c r="H18" s="30"/>
      <c r="I18" s="198" t="s">
        <v>223</v>
      </c>
      <c r="J18" s="30">
        <v>0.878</v>
      </c>
      <c r="K18" s="30"/>
      <c r="L18" s="30" t="s">
        <v>224</v>
      </c>
      <c r="M18" s="30">
        <v>15.370100000000001</v>
      </c>
      <c r="N18" s="30"/>
      <c r="O18" s="33"/>
    </row>
    <row r="19" spans="1:15">
      <c r="A19" s="1">
        <f>A$15*A$17</f>
        <v>10</v>
      </c>
      <c r="B19" s="24" t="s">
        <v>225</v>
      </c>
      <c r="C19" s="54">
        <v>5.518E-2</v>
      </c>
      <c r="F19" s="197"/>
      <c r="G19" s="30"/>
      <c r="H19" s="30"/>
      <c r="I19" s="30"/>
      <c r="J19" s="30"/>
      <c r="K19" s="30"/>
      <c r="L19" s="30" t="s">
        <v>226</v>
      </c>
      <c r="M19" s="30">
        <v>-28.9481</v>
      </c>
      <c r="N19" s="30"/>
      <c r="O19" s="33"/>
    </row>
    <row r="20" spans="1:15">
      <c r="A20" s="1">
        <f>A$16*A$17</f>
        <v>3.5</v>
      </c>
      <c r="B20" s="24" t="s">
        <v>227</v>
      </c>
      <c r="C20" s="54">
        <v>1.046</v>
      </c>
      <c r="F20" s="197"/>
      <c r="G20" s="30"/>
      <c r="H20" s="30"/>
      <c r="I20" s="30"/>
      <c r="J20" s="30"/>
      <c r="K20" s="30"/>
      <c r="L20" s="30" t="s">
        <v>228</v>
      </c>
      <c r="M20" s="30">
        <v>-3.7313000000000001</v>
      </c>
      <c r="N20" s="30"/>
      <c r="O20" s="33"/>
    </row>
    <row r="21" spans="1:15">
      <c r="A21" s="1">
        <f>A$15^2</f>
        <v>400</v>
      </c>
      <c r="B21" s="24" t="s">
        <v>229</v>
      </c>
      <c r="C21" s="54">
        <v>-5.3600000000000002E-3</v>
      </c>
      <c r="F21" s="197"/>
      <c r="G21" s="30"/>
      <c r="H21" s="30"/>
      <c r="I21" s="30"/>
      <c r="J21" s="30"/>
      <c r="K21" s="30"/>
      <c r="L21" s="30" t="s">
        <v>230</v>
      </c>
      <c r="M21" s="30">
        <v>26.4925</v>
      </c>
      <c r="N21" s="30"/>
      <c r="O21" s="33"/>
    </row>
    <row r="22" spans="1:15" ht="13.5" thickBot="1">
      <c r="A22" s="1">
        <f>A$16^2</f>
        <v>49</v>
      </c>
      <c r="B22" s="24" t="s">
        <v>231</v>
      </c>
      <c r="C22" s="54">
        <v>-0.3473</v>
      </c>
      <c r="F22" s="199"/>
      <c r="G22" s="36"/>
      <c r="H22" s="36"/>
      <c r="I22" s="36"/>
      <c r="J22" s="36"/>
      <c r="K22" s="36"/>
      <c r="L22" s="36" t="s">
        <v>232</v>
      </c>
      <c r="M22" s="36">
        <v>-11.312900000000001</v>
      </c>
      <c r="N22" s="36"/>
      <c r="O22" s="38"/>
    </row>
    <row r="23" spans="1:15">
      <c r="A23" s="1">
        <f>A$17^2</f>
        <v>0.25</v>
      </c>
      <c r="B23" s="24" t="s">
        <v>233</v>
      </c>
      <c r="C23" s="54">
        <v>-25.02</v>
      </c>
    </row>
    <row r="24" spans="1:15">
      <c r="A24" s="1"/>
      <c r="B24" s="24"/>
      <c r="C24" s="54"/>
    </row>
    <row r="25" spans="1:15">
      <c r="A25" s="1"/>
      <c r="B25" s="24"/>
      <c r="C25" s="54"/>
    </row>
    <row r="26" spans="1:15">
      <c r="A26" s="1"/>
      <c r="B26" s="24"/>
      <c r="C26" s="54"/>
    </row>
    <row r="27" spans="1:15">
      <c r="A27" s="1"/>
      <c r="B27" s="24"/>
      <c r="C27" s="54"/>
    </row>
    <row r="28" spans="1:15">
      <c r="A28" s="1"/>
      <c r="B28" s="24"/>
      <c r="C28" s="54"/>
    </row>
    <row r="30" spans="1:15">
      <c r="D30" s="124" t="s">
        <v>234</v>
      </c>
    </row>
    <row r="31" spans="1:15">
      <c r="D31">
        <v>30</v>
      </c>
      <c r="E31">
        <v>6.1</v>
      </c>
      <c r="F31">
        <v>0.999</v>
      </c>
    </row>
    <row r="32" spans="1:15">
      <c r="D32">
        <v>30</v>
      </c>
      <c r="E32">
        <v>4.5</v>
      </c>
      <c r="F32">
        <v>0.999</v>
      </c>
    </row>
    <row r="33" spans="4:6">
      <c r="D33">
        <v>30</v>
      </c>
      <c r="E33">
        <v>4.4000000000000004</v>
      </c>
      <c r="F33">
        <v>0.96099999999999997</v>
      </c>
    </row>
    <row r="34" spans="4:6">
      <c r="D34">
        <v>20</v>
      </c>
      <c r="E34">
        <v>4.5</v>
      </c>
      <c r="F34">
        <v>0.999</v>
      </c>
    </row>
    <row r="35" spans="4:6">
      <c r="D35">
        <v>15</v>
      </c>
      <c r="E35">
        <v>5.5</v>
      </c>
      <c r="F35">
        <v>0.92400000000000004</v>
      </c>
    </row>
    <row r="36" spans="4:6">
      <c r="D36">
        <v>30</v>
      </c>
      <c r="E36">
        <v>4.8</v>
      </c>
      <c r="F36">
        <v>0.90700000000000003</v>
      </c>
    </row>
    <row r="37" spans="4:6">
      <c r="D37">
        <v>25</v>
      </c>
      <c r="E37">
        <v>4.7</v>
      </c>
      <c r="F37">
        <v>0.90700000000000003</v>
      </c>
    </row>
    <row r="38" spans="4:6">
      <c r="D38">
        <v>20</v>
      </c>
      <c r="E38">
        <v>5.2</v>
      </c>
      <c r="F38">
        <v>0.90700000000000003</v>
      </c>
    </row>
    <row r="39" spans="4:6">
      <c r="D39">
        <v>20</v>
      </c>
      <c r="E39">
        <v>4.7</v>
      </c>
      <c r="F39">
        <v>0.92400000000000004</v>
      </c>
    </row>
    <row r="40" spans="4:6">
      <c r="D40">
        <v>10</v>
      </c>
      <c r="E40">
        <v>7</v>
      </c>
      <c r="F40">
        <v>0.999</v>
      </c>
    </row>
    <row r="41" spans="4:6">
      <c r="D41">
        <v>10</v>
      </c>
      <c r="E41">
        <v>7.1</v>
      </c>
      <c r="F41">
        <v>0.98599999999999999</v>
      </c>
    </row>
    <row r="42" spans="4:6">
      <c r="D42">
        <v>10</v>
      </c>
      <c r="E42">
        <v>7.1</v>
      </c>
      <c r="F42">
        <v>0.97399999999999998</v>
      </c>
    </row>
    <row r="43" spans="4:6">
      <c r="D43">
        <v>15</v>
      </c>
      <c r="E43">
        <v>6.6</v>
      </c>
      <c r="F43">
        <v>0.90700000000000003</v>
      </c>
    </row>
    <row r="44" spans="4:6">
      <c r="D44">
        <v>20</v>
      </c>
      <c r="E44">
        <v>6.7</v>
      </c>
      <c r="F44">
        <v>0.90700000000000003</v>
      </c>
    </row>
    <row r="45" spans="4:6">
      <c r="D45">
        <v>30</v>
      </c>
      <c r="E45">
        <v>6.7</v>
      </c>
      <c r="F45">
        <v>0.98599999999999999</v>
      </c>
    </row>
    <row r="46" spans="4:6">
      <c r="D46">
        <v>30</v>
      </c>
      <c r="E46">
        <v>6.3</v>
      </c>
      <c r="F46">
        <v>0.90700000000000003</v>
      </c>
    </row>
    <row r="47" spans="4:6">
      <c r="D47">
        <v>30</v>
      </c>
      <c r="E47">
        <v>7.1</v>
      </c>
      <c r="F47">
        <v>0.96099999999999997</v>
      </c>
    </row>
    <row r="48" spans="4:6">
      <c r="D48">
        <v>20</v>
      </c>
      <c r="E48">
        <v>7.1</v>
      </c>
      <c r="F48">
        <v>0.98599999999999999</v>
      </c>
    </row>
    <row r="49" spans="4:11">
      <c r="D49">
        <v>15</v>
      </c>
      <c r="E49">
        <v>7.1</v>
      </c>
      <c r="F49">
        <v>0.96099999999999997</v>
      </c>
    </row>
    <row r="50" spans="4:11">
      <c r="D50">
        <v>7.5</v>
      </c>
      <c r="E50">
        <v>5.5</v>
      </c>
      <c r="F50">
        <v>0.999</v>
      </c>
    </row>
    <row r="51" spans="4:11">
      <c r="D51">
        <v>7.5</v>
      </c>
      <c r="E51">
        <v>6</v>
      </c>
      <c r="F51">
        <v>0.999</v>
      </c>
    </row>
    <row r="52" spans="4:11">
      <c r="D52">
        <v>7.5</v>
      </c>
      <c r="E52">
        <v>7</v>
      </c>
      <c r="F52">
        <v>0.98599999999999999</v>
      </c>
    </row>
    <row r="53" spans="4:11">
      <c r="D53">
        <v>7.5</v>
      </c>
      <c r="E53">
        <v>6</v>
      </c>
      <c r="F53">
        <v>0.97399999999999998</v>
      </c>
    </row>
    <row r="54" spans="4:11">
      <c r="D54">
        <v>7.5</v>
      </c>
      <c r="E54">
        <v>7</v>
      </c>
      <c r="F54">
        <v>0.96099999999999997</v>
      </c>
    </row>
    <row r="55" spans="4:11">
      <c r="D55">
        <v>20</v>
      </c>
      <c r="E55">
        <v>4.3</v>
      </c>
      <c r="F55">
        <v>0.96099999999999997</v>
      </c>
    </row>
    <row r="56" spans="4:11">
      <c r="D56">
        <v>15</v>
      </c>
      <c r="E56">
        <v>4.8</v>
      </c>
      <c r="F56">
        <v>0.999</v>
      </c>
    </row>
    <row r="57" spans="4:11">
      <c r="D57">
        <v>15</v>
      </c>
      <c r="E57">
        <v>5</v>
      </c>
      <c r="F57">
        <v>0.93100000000000005</v>
      </c>
    </row>
    <row r="58" spans="4:11">
      <c r="D58">
        <v>15</v>
      </c>
      <c r="E58">
        <v>6.9</v>
      </c>
      <c r="F58">
        <v>0.999</v>
      </c>
    </row>
    <row r="59" spans="4:11">
      <c r="D59">
        <v>10</v>
      </c>
      <c r="E59">
        <v>6.9</v>
      </c>
      <c r="F59">
        <v>0.999</v>
      </c>
    </row>
    <row r="60" spans="4:11">
      <c r="D60">
        <v>10</v>
      </c>
      <c r="E60">
        <v>6.3</v>
      </c>
      <c r="F60">
        <v>0.999</v>
      </c>
    </row>
    <row r="61" spans="4:11">
      <c r="D61">
        <v>28</v>
      </c>
      <c r="E61">
        <v>6.5</v>
      </c>
      <c r="F61">
        <v>0.998</v>
      </c>
    </row>
    <row r="63" spans="4:11">
      <c r="D63" s="2" t="s">
        <v>235</v>
      </c>
    </row>
    <row r="64" spans="4:11">
      <c r="D64">
        <v>37</v>
      </c>
      <c r="E64">
        <v>4.7</v>
      </c>
      <c r="F64">
        <v>0.90700000000000003</v>
      </c>
      <c r="I64"/>
      <c r="J64"/>
      <c r="K64"/>
    </row>
    <row r="65" spans="4:11">
      <c r="D65">
        <v>15</v>
      </c>
      <c r="E65">
        <v>7</v>
      </c>
      <c r="F65">
        <v>0.90700000000000003</v>
      </c>
      <c r="I65"/>
      <c r="J65"/>
      <c r="K65"/>
    </row>
    <row r="66" spans="4:11">
      <c r="D66">
        <v>37</v>
      </c>
      <c r="E66">
        <v>7</v>
      </c>
      <c r="F66">
        <v>0.90700000000000003</v>
      </c>
      <c r="I66"/>
      <c r="J66"/>
      <c r="K66"/>
    </row>
    <row r="67" spans="4:11">
      <c r="D67">
        <v>37</v>
      </c>
      <c r="E67">
        <v>4.3</v>
      </c>
      <c r="F67">
        <v>0.96099999999999997</v>
      </c>
      <c r="I67"/>
      <c r="J67"/>
      <c r="K67"/>
    </row>
    <row r="68" spans="4:11">
      <c r="D68">
        <v>37</v>
      </c>
      <c r="E68">
        <v>4.3</v>
      </c>
      <c r="F68">
        <v>0.999</v>
      </c>
      <c r="I68"/>
      <c r="J68"/>
      <c r="K68"/>
    </row>
    <row r="69" spans="4:11">
      <c r="D69">
        <v>4</v>
      </c>
      <c r="E69">
        <v>6.6</v>
      </c>
      <c r="F69">
        <v>0.995</v>
      </c>
      <c r="I69"/>
      <c r="J69"/>
      <c r="K69"/>
    </row>
    <row r="70" spans="4:11">
      <c r="D70">
        <v>4</v>
      </c>
      <c r="E70">
        <v>6.7</v>
      </c>
      <c r="F70">
        <v>0.995</v>
      </c>
      <c r="I70"/>
      <c r="J70"/>
      <c r="K70"/>
    </row>
    <row r="71" spans="4:11">
      <c r="D71">
        <v>6</v>
      </c>
      <c r="E71">
        <v>5.6</v>
      </c>
      <c r="F71">
        <v>0.99</v>
      </c>
      <c r="I71"/>
      <c r="J71"/>
      <c r="K71"/>
    </row>
    <row r="72" spans="4:11">
      <c r="D72">
        <v>7.5</v>
      </c>
      <c r="E72">
        <v>5.5</v>
      </c>
      <c r="F72">
        <v>0.999</v>
      </c>
      <c r="I72"/>
      <c r="J72"/>
      <c r="K72"/>
    </row>
    <row r="73" spans="4:11">
      <c r="D73">
        <v>7.5</v>
      </c>
      <c r="E73">
        <v>7</v>
      </c>
      <c r="F73">
        <v>0.96099999999999997</v>
      </c>
      <c r="I73"/>
      <c r="J73"/>
      <c r="K73"/>
    </row>
    <row r="74" spans="4:11">
      <c r="D74">
        <v>10</v>
      </c>
      <c r="E74">
        <v>4.9000000000000004</v>
      </c>
      <c r="F74">
        <v>0.999</v>
      </c>
      <c r="I74"/>
      <c r="J74"/>
      <c r="K74"/>
    </row>
    <row r="75" spans="4:11">
      <c r="D75">
        <v>10</v>
      </c>
      <c r="E75">
        <v>5</v>
      </c>
      <c r="F75">
        <v>0.96099999999999997</v>
      </c>
      <c r="I75"/>
      <c r="J75"/>
      <c r="K75"/>
    </row>
    <row r="76" spans="4:11">
      <c r="D76">
        <v>10</v>
      </c>
      <c r="E76">
        <v>6</v>
      </c>
      <c r="F76">
        <v>0.93100000000000005</v>
      </c>
      <c r="I76"/>
      <c r="J76"/>
      <c r="K76"/>
    </row>
    <row r="77" spans="4:11">
      <c r="D77">
        <v>10</v>
      </c>
      <c r="E77">
        <v>8.4</v>
      </c>
      <c r="F77">
        <v>0.999</v>
      </c>
      <c r="I77"/>
      <c r="J77"/>
      <c r="K77"/>
    </row>
    <row r="78" spans="4:11">
      <c r="D78">
        <v>15</v>
      </c>
      <c r="E78">
        <v>4.3</v>
      </c>
      <c r="F78">
        <v>0.98599999999999999</v>
      </c>
      <c r="I78"/>
      <c r="J78"/>
      <c r="K78"/>
    </row>
    <row r="79" spans="4:11">
      <c r="D79">
        <v>15</v>
      </c>
      <c r="E79">
        <v>5</v>
      </c>
      <c r="F79">
        <v>0.93100000000000005</v>
      </c>
      <c r="I79"/>
      <c r="J79"/>
      <c r="K79"/>
    </row>
    <row r="80" spans="4:11">
      <c r="D80">
        <v>15</v>
      </c>
      <c r="E80">
        <v>5.5</v>
      </c>
      <c r="F80">
        <v>0.91500000000000004</v>
      </c>
      <c r="I80"/>
      <c r="J80"/>
      <c r="K80"/>
    </row>
    <row r="81" spans="4:11">
      <c r="D81">
        <v>15</v>
      </c>
      <c r="E81">
        <v>6</v>
      </c>
      <c r="F81">
        <v>0.90700000000000003</v>
      </c>
      <c r="I81"/>
      <c r="J81"/>
      <c r="K81"/>
    </row>
    <row r="82" spans="4:11">
      <c r="D82">
        <v>20</v>
      </c>
      <c r="E82">
        <v>4.2</v>
      </c>
      <c r="F82">
        <v>0.999</v>
      </c>
      <c r="I82"/>
      <c r="J82"/>
      <c r="K82"/>
    </row>
    <row r="83" spans="4:11">
      <c r="D83">
        <v>20</v>
      </c>
      <c r="E83">
        <v>4.3</v>
      </c>
      <c r="F83">
        <v>0.96099999999999997</v>
      </c>
      <c r="I83"/>
      <c r="J83"/>
      <c r="K83"/>
    </row>
    <row r="84" spans="4:11">
      <c r="D84">
        <v>20</v>
      </c>
      <c r="E84">
        <v>4.7</v>
      </c>
      <c r="F84">
        <v>0.92400000000000004</v>
      </c>
      <c r="I84"/>
      <c r="J84"/>
      <c r="K84"/>
    </row>
    <row r="85" spans="4:11">
      <c r="D85">
        <v>20</v>
      </c>
      <c r="E85">
        <v>5.2</v>
      </c>
      <c r="F85">
        <v>0.90700000000000003</v>
      </c>
      <c r="I85"/>
      <c r="J85"/>
      <c r="K85"/>
    </row>
    <row r="86" spans="4:11">
      <c r="D86">
        <v>20</v>
      </c>
      <c r="E86">
        <v>5.5</v>
      </c>
      <c r="F86">
        <v>0.90300000000000002</v>
      </c>
      <c r="I86"/>
      <c r="J86"/>
      <c r="K86"/>
    </row>
    <row r="87" spans="4:11">
      <c r="D87">
        <v>25</v>
      </c>
      <c r="E87">
        <v>4.7</v>
      </c>
      <c r="F87">
        <v>0.90700000000000003</v>
      </c>
      <c r="I87"/>
      <c r="J87"/>
      <c r="K87"/>
    </row>
    <row r="88" spans="4:11">
      <c r="D88">
        <v>28</v>
      </c>
      <c r="E88">
        <v>6.5</v>
      </c>
      <c r="F88">
        <v>0.998</v>
      </c>
      <c r="I88"/>
      <c r="J88"/>
      <c r="K88"/>
    </row>
    <row r="89" spans="4:11">
      <c r="D89">
        <v>30</v>
      </c>
      <c r="E89">
        <v>4.4000000000000004</v>
      </c>
      <c r="F89">
        <v>0.93100000000000005</v>
      </c>
      <c r="I89"/>
      <c r="J89"/>
      <c r="K89"/>
    </row>
    <row r="90" spans="4:11">
      <c r="D90">
        <v>30</v>
      </c>
      <c r="E90">
        <v>7</v>
      </c>
      <c r="F90">
        <v>0.9</v>
      </c>
      <c r="I90"/>
      <c r="J90"/>
      <c r="K90"/>
    </row>
    <row r="91" spans="4:11">
      <c r="D91">
        <v>37</v>
      </c>
      <c r="E91">
        <v>8</v>
      </c>
      <c r="F91">
        <v>0.95</v>
      </c>
      <c r="I91"/>
      <c r="J91"/>
      <c r="K91"/>
    </row>
    <row r="92" spans="4:11">
      <c r="D92">
        <v>37</v>
      </c>
      <c r="E92">
        <v>9</v>
      </c>
      <c r="F92">
        <v>0.999</v>
      </c>
      <c r="I92"/>
      <c r="J92"/>
      <c r="K92"/>
    </row>
    <row r="93" spans="4:11">
      <c r="D93">
        <v>45</v>
      </c>
      <c r="E93">
        <v>6</v>
      </c>
      <c r="F93">
        <v>0.98899999999999999</v>
      </c>
      <c r="I93"/>
      <c r="J93"/>
      <c r="K93"/>
    </row>
    <row r="94" spans="4:11">
      <c r="D94">
        <v>45</v>
      </c>
      <c r="E94">
        <v>7.5</v>
      </c>
      <c r="F94">
        <v>0.97699999999999998</v>
      </c>
      <c r="I94"/>
      <c r="J94"/>
      <c r="K94"/>
    </row>
    <row r="95" spans="4:11">
      <c r="D95">
        <v>45</v>
      </c>
      <c r="E95">
        <v>7.5</v>
      </c>
      <c r="F95">
        <v>0.999</v>
      </c>
      <c r="I95"/>
      <c r="J95"/>
      <c r="K95"/>
    </row>
    <row r="96" spans="4:11">
      <c r="D96">
        <v>47</v>
      </c>
      <c r="E96">
        <v>6.5</v>
      </c>
      <c r="F96">
        <v>0.999</v>
      </c>
      <c r="I96"/>
      <c r="J96"/>
      <c r="K96"/>
    </row>
    <row r="97" spans="4:6">
      <c r="D97"/>
      <c r="E97"/>
      <c r="F97"/>
    </row>
    <row r="98" spans="4:6">
      <c r="D98" s="2" t="s">
        <v>236</v>
      </c>
    </row>
    <row r="99" spans="4:6">
      <c r="D99" s="2">
        <v>4</v>
      </c>
      <c r="E99" s="2">
        <v>5.9</v>
      </c>
      <c r="F99" s="2">
        <v>1</v>
      </c>
    </row>
    <row r="100" spans="4:6">
      <c r="D100" s="2">
        <v>10</v>
      </c>
      <c r="E100" s="2">
        <v>4.5</v>
      </c>
      <c r="F100" s="2">
        <v>0.94699999999999995</v>
      </c>
    </row>
    <row r="101" spans="4:6">
      <c r="D101" s="2">
        <v>10</v>
      </c>
      <c r="E101" s="2">
        <v>4.5999999999999996</v>
      </c>
      <c r="F101" s="2">
        <v>1</v>
      </c>
    </row>
    <row r="102" spans="4:6">
      <c r="D102" s="2">
        <v>15</v>
      </c>
      <c r="E102" s="2">
        <v>5.5</v>
      </c>
      <c r="F102" s="2">
        <v>0.90700000000000003</v>
      </c>
    </row>
    <row r="103" spans="4:6">
      <c r="D103" s="2">
        <v>20</v>
      </c>
      <c r="E103" s="2">
        <v>4</v>
      </c>
      <c r="F103" s="2">
        <v>1</v>
      </c>
    </row>
    <row r="104" spans="4:6">
      <c r="D104" s="2">
        <v>0</v>
      </c>
      <c r="E104" s="2">
        <v>11</v>
      </c>
      <c r="F104" s="2">
        <v>0.86</v>
      </c>
    </row>
    <row r="105" spans="4:6">
      <c r="D105" s="2">
        <v>0</v>
      </c>
      <c r="E105" s="2">
        <v>11</v>
      </c>
      <c r="F105" s="2">
        <v>1</v>
      </c>
    </row>
    <row r="106" spans="4:6">
      <c r="D106" s="2">
        <v>60</v>
      </c>
      <c r="E106" s="2">
        <v>3.5</v>
      </c>
      <c r="F106" s="2">
        <v>0.86</v>
      </c>
    </row>
    <row r="107" spans="4:6">
      <c r="D107" s="2">
        <v>60</v>
      </c>
      <c r="E107" s="2">
        <v>3.5</v>
      </c>
      <c r="F107" s="2">
        <v>1</v>
      </c>
    </row>
    <row r="108" spans="4:6">
      <c r="D108" s="2">
        <v>60</v>
      </c>
      <c r="E108" s="2">
        <v>11</v>
      </c>
      <c r="F108" s="2">
        <v>1</v>
      </c>
    </row>
    <row r="110" spans="4:6">
      <c r="D110" s="124" t="s">
        <v>237</v>
      </c>
    </row>
    <row r="111" spans="4:6">
      <c r="D111">
        <v>30</v>
      </c>
      <c r="E111">
        <v>4.8</v>
      </c>
      <c r="F111">
        <v>0.90700000000000003</v>
      </c>
    </row>
    <row r="112" spans="4:6">
      <c r="D112">
        <v>25</v>
      </c>
      <c r="E112">
        <v>4.7</v>
      </c>
      <c r="F112">
        <v>0.90700000000000003</v>
      </c>
    </row>
    <row r="113" spans="4:6">
      <c r="D113">
        <v>15</v>
      </c>
      <c r="E113">
        <v>6.6</v>
      </c>
      <c r="F113">
        <v>0.90700000000000003</v>
      </c>
    </row>
    <row r="114" spans="4:6">
      <c r="D114">
        <v>7.5</v>
      </c>
      <c r="E114">
        <v>5.5</v>
      </c>
      <c r="F114">
        <v>0.999</v>
      </c>
    </row>
    <row r="115" spans="4:6">
      <c r="D115">
        <v>7.5</v>
      </c>
      <c r="E115">
        <v>6</v>
      </c>
      <c r="F115">
        <v>0.97399999999999998</v>
      </c>
    </row>
    <row r="116" spans="4:6">
      <c r="D116">
        <v>7.5</v>
      </c>
      <c r="E116">
        <v>7</v>
      </c>
      <c r="F116">
        <v>0.96099999999999997</v>
      </c>
    </row>
    <row r="117" spans="4:6">
      <c r="D117">
        <v>7.5</v>
      </c>
      <c r="E117">
        <v>7.1</v>
      </c>
      <c r="F117">
        <v>0.999</v>
      </c>
    </row>
    <row r="118" spans="4:6">
      <c r="D118">
        <v>30</v>
      </c>
      <c r="E118">
        <v>3.9</v>
      </c>
      <c r="F118">
        <v>0.93100000000000005</v>
      </c>
    </row>
    <row r="119" spans="4:6">
      <c r="D119">
        <v>10</v>
      </c>
      <c r="E119">
        <v>4</v>
      </c>
      <c r="F119">
        <v>0.93100000000000005</v>
      </c>
    </row>
    <row r="120" spans="4:6">
      <c r="D120">
        <v>15</v>
      </c>
      <c r="E120">
        <v>5.5</v>
      </c>
      <c r="F120">
        <v>0.90700000000000003</v>
      </c>
    </row>
    <row r="121" spans="4:6">
      <c r="D121">
        <v>10</v>
      </c>
      <c r="E121">
        <v>3.9</v>
      </c>
      <c r="F121">
        <v>0.999</v>
      </c>
    </row>
    <row r="122" spans="4:6">
      <c r="D122">
        <v>10</v>
      </c>
      <c r="E122">
        <v>6.3</v>
      </c>
      <c r="F122">
        <v>1</v>
      </c>
    </row>
    <row r="123" spans="4:6">
      <c r="D123">
        <v>10</v>
      </c>
      <c r="E123">
        <v>5.4</v>
      </c>
      <c r="F123">
        <v>1</v>
      </c>
    </row>
    <row r="124" spans="4:6">
      <c r="D124">
        <v>28</v>
      </c>
      <c r="E124">
        <v>5.4</v>
      </c>
      <c r="F124">
        <v>1</v>
      </c>
    </row>
    <row r="125" spans="4:6">
      <c r="D125">
        <v>10</v>
      </c>
      <c r="E125">
        <v>7.4</v>
      </c>
      <c r="F125">
        <v>0.999</v>
      </c>
    </row>
    <row r="126" spans="4:6">
      <c r="D126">
        <v>15.5</v>
      </c>
      <c r="E126">
        <v>7.5</v>
      </c>
      <c r="F126">
        <v>0.999</v>
      </c>
    </row>
    <row r="127" spans="4:6">
      <c r="D127">
        <v>45</v>
      </c>
      <c r="E127">
        <v>7.5</v>
      </c>
      <c r="F127">
        <v>0.999</v>
      </c>
    </row>
    <row r="128" spans="4:6">
      <c r="D128">
        <v>37</v>
      </c>
      <c r="E128">
        <v>5</v>
      </c>
      <c r="F128">
        <v>0.95</v>
      </c>
    </row>
    <row r="129" spans="4:6">
      <c r="D129">
        <v>45</v>
      </c>
      <c r="E129">
        <v>7.5</v>
      </c>
      <c r="F129">
        <v>0.97699999999999998</v>
      </c>
    </row>
    <row r="130" spans="4:6">
      <c r="D130">
        <v>37</v>
      </c>
      <c r="E130">
        <v>7.5</v>
      </c>
      <c r="F130">
        <v>0.95</v>
      </c>
    </row>
    <row r="131" spans="4:6">
      <c r="D131">
        <v>15.5</v>
      </c>
      <c r="E131">
        <v>7.5</v>
      </c>
      <c r="F131">
        <v>0.95</v>
      </c>
    </row>
    <row r="132" spans="4:6">
      <c r="D132">
        <v>47</v>
      </c>
      <c r="E132">
        <v>6.5</v>
      </c>
      <c r="F132">
        <v>0.999</v>
      </c>
    </row>
    <row r="133" spans="4:6">
      <c r="D133">
        <v>44.5</v>
      </c>
      <c r="E133">
        <v>6</v>
      </c>
      <c r="F133">
        <v>0.98899999999999999</v>
      </c>
    </row>
    <row r="134" spans="4:6">
      <c r="D134">
        <v>37</v>
      </c>
      <c r="E134">
        <v>7</v>
      </c>
      <c r="F134">
        <v>0.88</v>
      </c>
    </row>
    <row r="135" spans="4:6">
      <c r="D135">
        <v>30</v>
      </c>
      <c r="E135">
        <v>3.8</v>
      </c>
      <c r="F135">
        <v>0.999</v>
      </c>
    </row>
    <row r="136" spans="4:6">
      <c r="D136">
        <v>10</v>
      </c>
      <c r="E136">
        <v>6</v>
      </c>
      <c r="F136">
        <v>0.93100000000000005</v>
      </c>
    </row>
  </sheetData>
  <phoneticPr fontId="0" type="noConversion"/>
  <printOptions gridLines="1" gridLinesSet="0"/>
  <pageMargins left="0.75" right="0.75" top="1" bottom="1" header="0.5" footer="0.5"/>
  <pageSetup paperSize="9" orientation="portrait" horizontalDpi="4294967292" r:id="rId1"/>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O62"/>
  <sheetViews>
    <sheetView workbookViewId="0">
      <selection activeCell="E28" sqref="E28"/>
    </sheetView>
  </sheetViews>
  <sheetFormatPr defaultColWidth="8.875" defaultRowHeight="12.75"/>
  <cols>
    <col min="1" max="1" width="8.375" style="2" customWidth="1"/>
    <col min="2" max="2" width="12.5" style="2" customWidth="1"/>
    <col min="3" max="3" width="8.875" style="2" customWidth="1"/>
    <col min="4" max="4" width="7.25" style="2" customWidth="1"/>
    <col min="5" max="5" width="6.875" style="2" customWidth="1"/>
    <col min="6" max="6" width="5.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Orgs!B19</f>
        <v>Saccharomyces cerevisiae</v>
      </c>
    </row>
    <row r="2" spans="1:15" s="24" customFormat="1" ht="14.25">
      <c r="A2" s="26"/>
      <c r="B2" s="27"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0">
        <v>3</v>
      </c>
      <c r="C3" s="75">
        <f>EXP(-3.8)</f>
        <v>2.2370771856165601E-2</v>
      </c>
      <c r="D3" s="30">
        <v>25</v>
      </c>
      <c r="E3" s="30">
        <v>7</v>
      </c>
      <c r="F3" s="30">
        <v>0.999</v>
      </c>
      <c r="G3" s="30"/>
      <c r="H3" s="30"/>
      <c r="I3" s="30"/>
      <c r="J3" s="30"/>
      <c r="K3" s="30"/>
      <c r="L3" s="30"/>
      <c r="M3" s="30"/>
      <c r="N3" s="30"/>
      <c r="O3" s="33"/>
    </row>
    <row r="4" spans="1:15">
      <c r="A4" s="29" t="s">
        <v>202</v>
      </c>
      <c r="B4" s="30"/>
      <c r="C4" s="34"/>
      <c r="D4" s="30">
        <v>25</v>
      </c>
      <c r="E4" s="30">
        <v>2.48</v>
      </c>
      <c r="F4" s="30">
        <v>0.95199999999999996</v>
      </c>
      <c r="G4" s="30"/>
      <c r="H4" s="30"/>
      <c r="I4" s="30"/>
      <c r="J4" s="30"/>
      <c r="K4" s="30"/>
      <c r="L4" s="30"/>
      <c r="M4" s="30"/>
      <c r="N4" s="30"/>
      <c r="O4" s="33"/>
    </row>
    <row r="5" spans="1:15" ht="13.5" thickBot="1">
      <c r="A5" s="35" t="s">
        <v>203</v>
      </c>
      <c r="B5" s="36"/>
      <c r="C5" s="37"/>
      <c r="D5" s="36">
        <v>25</v>
      </c>
      <c r="E5" s="36">
        <v>8</v>
      </c>
      <c r="F5" s="36">
        <v>1</v>
      </c>
      <c r="G5" s="36"/>
      <c r="H5" s="36"/>
      <c r="I5" s="36"/>
      <c r="J5" s="36"/>
      <c r="K5" s="36"/>
      <c r="L5" s="36"/>
      <c r="M5" s="36"/>
      <c r="N5" s="36"/>
      <c r="O5" s="38"/>
    </row>
    <row r="6" spans="1:15" ht="13.5" thickBot="1">
      <c r="A6"/>
      <c r="C6" s="25"/>
    </row>
    <row r="7" spans="1:15">
      <c r="A7" s="39"/>
      <c r="B7" s="27"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c r="B8" s="41">
        <v>31010</v>
      </c>
      <c r="C8" s="37"/>
      <c r="D8" s="42" t="s">
        <v>208</v>
      </c>
      <c r="E8" s="42" t="s">
        <v>209</v>
      </c>
      <c r="F8" s="42" t="s">
        <v>245</v>
      </c>
      <c r="G8" s="42" t="s">
        <v>211</v>
      </c>
      <c r="H8" s="36" t="s">
        <v>211</v>
      </c>
      <c r="I8" s="36" t="s">
        <v>211</v>
      </c>
      <c r="J8" s="36" t="s">
        <v>211</v>
      </c>
      <c r="K8" s="36" t="s">
        <v>211</v>
      </c>
      <c r="L8" s="36" t="s">
        <v>211</v>
      </c>
      <c r="M8" s="36" t="s">
        <v>211</v>
      </c>
      <c r="N8" s="36" t="s">
        <v>211</v>
      </c>
      <c r="O8" s="38" t="s">
        <v>211</v>
      </c>
    </row>
    <row r="9" spans="1:15" ht="13.5" thickBot="1">
      <c r="A9" s="2" t="s">
        <v>212</v>
      </c>
      <c r="E9" s="2">
        <v>2</v>
      </c>
      <c r="F9" s="2">
        <v>0.02</v>
      </c>
    </row>
    <row r="10" spans="1:15" ht="14.25">
      <c r="A10" s="39"/>
      <c r="B10" s="53" t="s">
        <v>213</v>
      </c>
      <c r="C10" s="27"/>
      <c r="D10" s="27"/>
      <c r="E10" s="43"/>
      <c r="F10" s="43"/>
      <c r="G10" s="44"/>
      <c r="H10" s="56" t="s">
        <v>214</v>
      </c>
      <c r="I10" s="45"/>
    </row>
    <row r="11" spans="1:15">
      <c r="A11" s="29" t="s">
        <v>215</v>
      </c>
      <c r="B11" s="32">
        <v>0.25</v>
      </c>
      <c r="C11" s="46"/>
      <c r="D11" s="30"/>
      <c r="E11" s="30"/>
      <c r="F11" s="30"/>
      <c r="G11" s="47"/>
      <c r="H11" s="30"/>
      <c r="I11" s="33"/>
    </row>
    <row r="12" spans="1:15" ht="13.5" thickBot="1">
      <c r="A12" s="35" t="s">
        <v>216</v>
      </c>
      <c r="B12" s="48" t="str">
        <f>" =EXP("&amp;B14&amp;"*("&amp;C14&amp;")+"&amp;B15&amp;"*("&amp;C15&amp;")+"&amp;B16&amp;"*("&amp;C16&amp;")+"&amp;B17&amp;"*("&amp;C17&amp;")+"&amp;B18&amp;"*("&amp;C18&amp;")+"&amp;B19&amp;"*("&amp;C19&amp;")+"&amp;B20&amp;"*("&amp;C20&amp;")+"&amp;B21&amp;"*("&amp;C21&amp;")+"&amp;B22&amp;"*("&amp;C22&amp;")+"&amp;B23&amp;"*("&amp;C23&amp;"))"</f>
        <v xml:space="preserve"> =EXP(1*(-1.693)+tr*(0)+pr*(0.18391)+bw*(4.88667)+tr*pr*(0)+tr*bw*(0)+pr*bw*(-0.112969)+tr^2*(0)+pr^2*(-0.0129932)+bw^2*(-42.8494))</v>
      </c>
      <c r="C12" s="49"/>
      <c r="D12" s="50"/>
      <c r="E12" s="49"/>
      <c r="F12" s="50"/>
      <c r="G12" s="51"/>
      <c r="H12" s="36">
        <v>7.2</v>
      </c>
      <c r="I12" s="38"/>
    </row>
    <row r="14" spans="1:15">
      <c r="A14" s="1">
        <v>1</v>
      </c>
      <c r="B14" s="24">
        <v>1</v>
      </c>
      <c r="C14" s="2">
        <v>-1.6930000000000001</v>
      </c>
      <c r="E14" s="4"/>
    </row>
    <row r="15" spans="1:15">
      <c r="A15" s="1">
        <v>20</v>
      </c>
      <c r="B15" s="24" t="s">
        <v>45</v>
      </c>
      <c r="C15" s="2">
        <v>0</v>
      </c>
      <c r="E15" s="4"/>
    </row>
    <row r="16" spans="1:15">
      <c r="A16" s="1">
        <v>7</v>
      </c>
      <c r="B16" s="24" t="s">
        <v>46</v>
      </c>
      <c r="C16" s="2">
        <v>0.18390999999999999</v>
      </c>
    </row>
    <row r="17" spans="1:6">
      <c r="A17" s="1">
        <v>0.5</v>
      </c>
      <c r="B17" s="24" t="s">
        <v>47</v>
      </c>
      <c r="C17" s="2">
        <v>4.8866699999999996</v>
      </c>
    </row>
    <row r="18" spans="1:6">
      <c r="A18" s="1">
        <f>A$15*A$16</f>
        <v>140</v>
      </c>
      <c r="B18" s="24" t="s">
        <v>222</v>
      </c>
      <c r="C18" s="2">
        <v>0</v>
      </c>
    </row>
    <row r="19" spans="1:6">
      <c r="A19" s="1">
        <f>A$15*A$17</f>
        <v>10</v>
      </c>
      <c r="B19" s="24" t="s">
        <v>225</v>
      </c>
      <c r="C19" s="2">
        <v>0</v>
      </c>
    </row>
    <row r="20" spans="1:6">
      <c r="A20" s="1">
        <f>A$16*A$17</f>
        <v>3.5</v>
      </c>
      <c r="B20" s="24" t="s">
        <v>227</v>
      </c>
      <c r="C20" s="2">
        <v>-0.112969</v>
      </c>
    </row>
    <row r="21" spans="1:6">
      <c r="A21" s="1">
        <f>A$15^2</f>
        <v>400</v>
      </c>
      <c r="B21" s="24" t="s">
        <v>229</v>
      </c>
      <c r="C21" s="2">
        <v>0</v>
      </c>
    </row>
    <row r="22" spans="1:6">
      <c r="A22" s="1">
        <f>A$16^2</f>
        <v>49</v>
      </c>
      <c r="B22" s="24" t="s">
        <v>231</v>
      </c>
      <c r="C22" s="2">
        <v>-1.29932E-2</v>
      </c>
    </row>
    <row r="23" spans="1:6">
      <c r="A23" s="1">
        <f>A$17^2</f>
        <v>0.25</v>
      </c>
      <c r="B23" s="24" t="s">
        <v>233</v>
      </c>
      <c r="C23" s="2">
        <v>-42.849400000000003</v>
      </c>
    </row>
    <row r="24" spans="1:6">
      <c r="A24" s="1"/>
      <c r="B24" s="24"/>
    </row>
    <row r="25" spans="1:6">
      <c r="A25" s="1"/>
      <c r="B25" s="24"/>
    </row>
    <row r="26" spans="1:6">
      <c r="A26" s="1"/>
      <c r="B26" s="24"/>
    </row>
    <row r="27" spans="1:6">
      <c r="A27" s="1"/>
      <c r="B27" s="24"/>
    </row>
    <row r="28" spans="1:6">
      <c r="A28" s="1"/>
      <c r="B28" s="24"/>
    </row>
    <row r="30" spans="1:6">
      <c r="D30" s="124" t="s">
        <v>234</v>
      </c>
    </row>
    <row r="31" spans="1:6">
      <c r="D31">
        <v>25</v>
      </c>
      <c r="E31">
        <v>2.48</v>
      </c>
      <c r="F31">
        <v>0.999</v>
      </c>
    </row>
    <row r="32" spans="1:6">
      <c r="D32">
        <v>25</v>
      </c>
      <c r="E32">
        <v>5.5</v>
      </c>
      <c r="F32">
        <v>0.998</v>
      </c>
    </row>
    <row r="33" spans="4:11">
      <c r="D33">
        <v>25</v>
      </c>
      <c r="E33">
        <v>8</v>
      </c>
      <c r="F33">
        <v>0.98399999999999999</v>
      </c>
    </row>
    <row r="34" spans="4:11">
      <c r="D34">
        <v>25</v>
      </c>
      <c r="E34">
        <v>2.5</v>
      </c>
      <c r="F34">
        <v>0.95199999999999996</v>
      </c>
    </row>
    <row r="35" spans="4:11">
      <c r="D35">
        <v>25</v>
      </c>
      <c r="E35">
        <v>8</v>
      </c>
      <c r="F35">
        <v>0.95199999999999996</v>
      </c>
    </row>
    <row r="36" spans="4:11">
      <c r="D36">
        <v>25</v>
      </c>
      <c r="E36">
        <v>2.48</v>
      </c>
      <c r="F36">
        <v>0.97199999999999998</v>
      </c>
    </row>
    <row r="38" spans="4:11">
      <c r="D38" s="2" t="s">
        <v>235</v>
      </c>
    </row>
    <row r="39" spans="4:11">
      <c r="D39">
        <v>25</v>
      </c>
      <c r="E39">
        <v>8</v>
      </c>
      <c r="F39">
        <v>0.95199999999999996</v>
      </c>
      <c r="I39"/>
      <c r="J39"/>
      <c r="K39"/>
    </row>
    <row r="40" spans="4:11">
      <c r="D40">
        <v>25</v>
      </c>
      <c r="E40">
        <v>7</v>
      </c>
      <c r="F40">
        <v>0.999</v>
      </c>
      <c r="I40"/>
      <c r="J40"/>
      <c r="K40"/>
    </row>
    <row r="41" spans="4:11">
      <c r="D41">
        <v>25</v>
      </c>
      <c r="E41">
        <v>8</v>
      </c>
      <c r="F41">
        <v>0.999</v>
      </c>
      <c r="I41"/>
      <c r="J41"/>
      <c r="K41"/>
    </row>
    <row r="42" spans="4:11">
      <c r="D42">
        <v>25</v>
      </c>
      <c r="E42">
        <v>2.48</v>
      </c>
      <c r="F42">
        <v>0.97199999999999998</v>
      </c>
      <c r="I42"/>
      <c r="J42"/>
      <c r="K42"/>
    </row>
    <row r="43" spans="4:11">
      <c r="D43">
        <v>18</v>
      </c>
      <c r="E43">
        <v>2.48</v>
      </c>
      <c r="F43">
        <v>0.999</v>
      </c>
      <c r="I43"/>
      <c r="J43"/>
      <c r="K43"/>
    </row>
    <row r="44" spans="4:11">
      <c r="D44">
        <v>18</v>
      </c>
      <c r="E44">
        <v>5.5</v>
      </c>
      <c r="F44">
        <v>0.998</v>
      </c>
      <c r="I44"/>
      <c r="J44"/>
      <c r="K44"/>
    </row>
    <row r="45" spans="4:11">
      <c r="D45">
        <v>18</v>
      </c>
      <c r="E45">
        <v>8</v>
      </c>
      <c r="F45">
        <v>0.98399999999999999</v>
      </c>
      <c r="I45"/>
      <c r="J45"/>
      <c r="K45"/>
    </row>
    <row r="46" spans="4:11">
      <c r="D46">
        <v>18</v>
      </c>
      <c r="E46">
        <v>2.5</v>
      </c>
      <c r="F46">
        <v>0.95199999999999996</v>
      </c>
      <c r="I46"/>
      <c r="J46"/>
      <c r="K46"/>
    </row>
    <row r="47" spans="4:11">
      <c r="D47">
        <v>18</v>
      </c>
      <c r="E47">
        <v>8</v>
      </c>
      <c r="F47">
        <v>0.95199999999999996</v>
      </c>
      <c r="I47"/>
      <c r="J47"/>
      <c r="K47"/>
    </row>
    <row r="48" spans="4:11">
      <c r="D48">
        <v>18</v>
      </c>
      <c r="E48">
        <v>2.48</v>
      </c>
      <c r="F48">
        <v>0.97199999999999998</v>
      </c>
      <c r="I48"/>
      <c r="J48"/>
      <c r="K48"/>
    </row>
    <row r="49" spans="4:11">
      <c r="D49">
        <v>30</v>
      </c>
      <c r="E49">
        <v>2.48</v>
      </c>
      <c r="F49">
        <v>0.999</v>
      </c>
      <c r="I49"/>
      <c r="J49"/>
      <c r="K49"/>
    </row>
    <row r="50" spans="4:11">
      <c r="D50">
        <v>30</v>
      </c>
      <c r="E50">
        <v>5.5</v>
      </c>
      <c r="F50">
        <v>0.998</v>
      </c>
      <c r="I50"/>
      <c r="J50"/>
      <c r="K50"/>
    </row>
    <row r="51" spans="4:11">
      <c r="D51">
        <v>30</v>
      </c>
      <c r="E51">
        <v>8</v>
      </c>
      <c r="F51">
        <v>0.98399999999999999</v>
      </c>
      <c r="I51"/>
      <c r="J51"/>
      <c r="K51"/>
    </row>
    <row r="52" spans="4:11">
      <c r="D52">
        <v>30</v>
      </c>
      <c r="E52">
        <v>2.5</v>
      </c>
      <c r="F52">
        <v>0.95199999999999996</v>
      </c>
      <c r="I52"/>
      <c r="J52"/>
      <c r="K52"/>
    </row>
    <row r="54" spans="4:11">
      <c r="D54" s="2" t="s">
        <v>236</v>
      </c>
    </row>
    <row r="55" spans="4:11">
      <c r="D55" s="2">
        <v>0</v>
      </c>
      <c r="E55">
        <v>0.5</v>
      </c>
      <c r="F55">
        <v>1</v>
      </c>
    </row>
    <row r="56" spans="4:11">
      <c r="D56" s="2">
        <v>0</v>
      </c>
      <c r="E56">
        <v>0.5</v>
      </c>
      <c r="F56">
        <v>0.7</v>
      </c>
    </row>
    <row r="57" spans="4:11">
      <c r="D57" s="2">
        <v>0</v>
      </c>
      <c r="E57">
        <v>11</v>
      </c>
      <c r="F57">
        <v>1</v>
      </c>
    </row>
    <row r="58" spans="4:11">
      <c r="D58" s="2">
        <v>0</v>
      </c>
      <c r="E58">
        <v>11</v>
      </c>
      <c r="F58">
        <v>0.7</v>
      </c>
    </row>
    <row r="59" spans="4:11">
      <c r="D59" s="2">
        <v>60</v>
      </c>
      <c r="E59">
        <v>0.5</v>
      </c>
      <c r="F59">
        <v>1</v>
      </c>
    </row>
    <row r="60" spans="4:11">
      <c r="D60" s="2">
        <v>60</v>
      </c>
      <c r="E60">
        <v>0.5</v>
      </c>
      <c r="F60">
        <v>0.7</v>
      </c>
    </row>
    <row r="61" spans="4:11">
      <c r="D61" s="2">
        <v>60</v>
      </c>
      <c r="E61">
        <v>11</v>
      </c>
      <c r="F61">
        <v>1</v>
      </c>
    </row>
    <row r="62" spans="4:11">
      <c r="D62" s="2">
        <v>60</v>
      </c>
      <c r="E62">
        <v>11</v>
      </c>
      <c r="F62">
        <v>0.7</v>
      </c>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O95"/>
  <sheetViews>
    <sheetView workbookViewId="0">
      <selection activeCell="E28" sqref="E28"/>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Orgs!B20</f>
        <v>Salmonellae</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EXP(-3.1)</f>
        <v>4.5049202393557801E-2</v>
      </c>
      <c r="D3" s="30">
        <v>20</v>
      </c>
      <c r="E3" s="30">
        <v>7</v>
      </c>
      <c r="F3" s="32" t="s">
        <v>201</v>
      </c>
      <c r="G3" s="30">
        <v>0.5</v>
      </c>
      <c r="H3" s="30"/>
      <c r="I3" s="30"/>
      <c r="J3" s="30"/>
      <c r="K3" s="30"/>
      <c r="L3" s="30"/>
      <c r="M3" s="30"/>
      <c r="N3" s="30"/>
      <c r="O3" s="33"/>
    </row>
    <row r="4" spans="1:15">
      <c r="A4" s="29" t="s">
        <v>202</v>
      </c>
      <c r="B4" s="30"/>
      <c r="C4" s="34"/>
      <c r="D4" s="30">
        <v>7</v>
      </c>
      <c r="E4" s="30">
        <v>3.9</v>
      </c>
      <c r="F4" s="30"/>
      <c r="G4" s="30">
        <v>0</v>
      </c>
      <c r="H4" s="30"/>
      <c r="I4" s="30"/>
      <c r="J4" s="30"/>
      <c r="K4" s="30"/>
      <c r="L4" s="30"/>
      <c r="M4" s="30"/>
      <c r="N4" s="30"/>
      <c r="O4" s="33"/>
    </row>
    <row r="5" spans="1:15" ht="13.5" thickBot="1">
      <c r="A5" s="35" t="s">
        <v>203</v>
      </c>
      <c r="B5" s="36"/>
      <c r="C5" s="37"/>
      <c r="D5" s="36">
        <v>30</v>
      </c>
      <c r="E5" s="36">
        <v>7.4</v>
      </c>
      <c r="F5" s="36"/>
      <c r="G5" s="36">
        <v>4.5999999999999996</v>
      </c>
      <c r="H5" s="36"/>
      <c r="I5" s="36"/>
      <c r="J5" s="36"/>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c r="A9" s="2" t="s">
        <v>212</v>
      </c>
      <c r="D9" s="2">
        <v>3</v>
      </c>
      <c r="E9" s="2">
        <v>1</v>
      </c>
      <c r="F9" s="2">
        <v>0.02</v>
      </c>
    </row>
    <row r="10" spans="1:15" ht="14.25">
      <c r="A10" s="39"/>
      <c r="B10" s="53" t="s">
        <v>213</v>
      </c>
      <c r="C10" s="27"/>
      <c r="D10" s="27"/>
      <c r="E10" s="43"/>
      <c r="F10" s="43"/>
      <c r="G10" s="44"/>
      <c r="H10" s="56" t="s">
        <v>214</v>
      </c>
      <c r="I10" s="45"/>
    </row>
    <row r="11" spans="1:15">
      <c r="A11" s="29" t="s">
        <v>215</v>
      </c>
      <c r="B11" s="32">
        <v>0.24</v>
      </c>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f>
        <v xml:space="preserve"> =EXP(1*(-13.32)+tr*(0.4436)+pr*(1.993)+bw*(8.097)+tr*pr*(-0.01241)+tr*bw*(0.1402)+pr*bw*(0.4664)+tr^2*(-0.005751)+pr^2*(-0.1347)+bw^2*(-88.92))</v>
      </c>
      <c r="C12" s="49"/>
      <c r="D12" s="50"/>
      <c r="E12" s="49"/>
      <c r="F12" s="50"/>
      <c r="G12" s="51"/>
      <c r="H12" s="36">
        <f>19.6/2.3</f>
        <v>8.5217391304347831</v>
      </c>
      <c r="I12" s="38"/>
    </row>
    <row r="14" spans="1:15">
      <c r="A14" s="1">
        <v>1</v>
      </c>
      <c r="B14" s="24">
        <v>1</v>
      </c>
      <c r="C14" s="54">
        <v>-13.32</v>
      </c>
      <c r="E14" s="84"/>
    </row>
    <row r="15" spans="1:15">
      <c r="A15" s="1">
        <v>20</v>
      </c>
      <c r="B15" s="24" t="s">
        <v>45</v>
      </c>
      <c r="C15" s="54">
        <v>0.44359999999999999</v>
      </c>
      <c r="E15" s="84"/>
    </row>
    <row r="16" spans="1:15">
      <c r="A16" s="1">
        <v>7</v>
      </c>
      <c r="B16" s="24" t="s">
        <v>46</v>
      </c>
      <c r="C16" s="54">
        <v>1.9930000000000001</v>
      </c>
      <c r="E16" s="84"/>
    </row>
    <row r="17" spans="1:6">
      <c r="A17" s="1">
        <v>0.5</v>
      </c>
      <c r="B17" s="24" t="s">
        <v>47</v>
      </c>
      <c r="C17" s="54">
        <v>8.0969999999999995</v>
      </c>
      <c r="E17" s="84"/>
    </row>
    <row r="18" spans="1:6">
      <c r="A18" s="1">
        <f>A$15*A$16</f>
        <v>140</v>
      </c>
      <c r="B18" s="24" t="s">
        <v>222</v>
      </c>
      <c r="C18" s="54">
        <v>-1.2409999999999999E-2</v>
      </c>
      <c r="E18" s="84"/>
    </row>
    <row r="19" spans="1:6">
      <c r="A19" s="1">
        <f>A$15*A$17</f>
        <v>10</v>
      </c>
      <c r="B19" s="24" t="s">
        <v>225</v>
      </c>
      <c r="C19" s="54">
        <v>0.14019999999999999</v>
      </c>
      <c r="E19" s="84"/>
    </row>
    <row r="20" spans="1:6">
      <c r="A20" s="1">
        <f>A$16*A$17</f>
        <v>3.5</v>
      </c>
      <c r="B20" s="24" t="s">
        <v>227</v>
      </c>
      <c r="C20" s="54">
        <v>0.46639999999999998</v>
      </c>
      <c r="E20" s="84"/>
    </row>
    <row r="21" spans="1:6">
      <c r="A21" s="1">
        <f>A$15^2</f>
        <v>400</v>
      </c>
      <c r="B21" s="24" t="s">
        <v>229</v>
      </c>
      <c r="C21" s="54">
        <v>-5.751E-3</v>
      </c>
      <c r="E21" s="84"/>
    </row>
    <row r="22" spans="1:6">
      <c r="A22" s="1">
        <f>A$16^2</f>
        <v>49</v>
      </c>
      <c r="B22" s="24" t="s">
        <v>231</v>
      </c>
      <c r="C22" s="54">
        <v>-0.13469999999999999</v>
      </c>
      <c r="E22" s="84"/>
    </row>
    <row r="23" spans="1:6">
      <c r="A23" s="1">
        <f>A$17^2</f>
        <v>0.25</v>
      </c>
      <c r="B23" s="24" t="s">
        <v>233</v>
      </c>
      <c r="C23" s="54">
        <v>-88.92</v>
      </c>
      <c r="E23" s="84"/>
    </row>
    <row r="24" spans="1:6">
      <c r="A24" s="1"/>
      <c r="B24" s="24"/>
      <c r="C24" s="54"/>
    </row>
    <row r="25" spans="1:6">
      <c r="A25" s="1"/>
      <c r="B25" s="2" t="s">
        <v>261</v>
      </c>
      <c r="C25" s="85">
        <v>0.96</v>
      </c>
    </row>
    <row r="26" spans="1:6">
      <c r="A26" s="1"/>
      <c r="B26" s="2" t="s">
        <v>262</v>
      </c>
      <c r="C26" s="2">
        <v>0.24</v>
      </c>
    </row>
    <row r="27" spans="1:6">
      <c r="A27" s="1"/>
      <c r="B27" s="2" t="s">
        <v>263</v>
      </c>
      <c r="C27" s="86">
        <f>EXP(C26)</f>
        <v>1.2712491503214047</v>
      </c>
    </row>
    <row r="28" spans="1:6">
      <c r="A28" s="1"/>
      <c r="B28" s="24"/>
      <c r="C28" s="54"/>
    </row>
    <row r="30" spans="1:6">
      <c r="D30" s="124" t="s">
        <v>234</v>
      </c>
    </row>
    <row r="31" spans="1:6">
      <c r="D31">
        <v>30</v>
      </c>
      <c r="E31">
        <v>3.9</v>
      </c>
      <c r="F31">
        <v>0.99199999999999999</v>
      </c>
    </row>
    <row r="32" spans="1:6">
      <c r="D32">
        <v>20</v>
      </c>
      <c r="E32">
        <v>4.7</v>
      </c>
      <c r="F32">
        <v>0.97399999999999998</v>
      </c>
    </row>
    <row r="33" spans="4:6">
      <c r="D33">
        <v>15</v>
      </c>
      <c r="E33">
        <v>6</v>
      </c>
      <c r="F33">
        <v>0.97299999999999998</v>
      </c>
    </row>
    <row r="34" spans="4:6">
      <c r="D34">
        <v>30</v>
      </c>
      <c r="E34">
        <v>6.9</v>
      </c>
      <c r="F34">
        <v>0.97399999999999998</v>
      </c>
    </row>
    <row r="35" spans="4:6">
      <c r="D35">
        <v>30</v>
      </c>
      <c r="E35">
        <v>3.9</v>
      </c>
      <c r="F35">
        <v>0.999</v>
      </c>
    </row>
    <row r="36" spans="4:6">
      <c r="D36">
        <v>30</v>
      </c>
      <c r="E36">
        <v>4.5999999999999996</v>
      </c>
      <c r="F36">
        <v>0.97399999999999998</v>
      </c>
    </row>
    <row r="37" spans="4:6">
      <c r="D37">
        <v>20</v>
      </c>
      <c r="E37">
        <v>4</v>
      </c>
      <c r="F37">
        <v>0.999</v>
      </c>
    </row>
    <row r="38" spans="4:6">
      <c r="D38">
        <v>10</v>
      </c>
      <c r="E38">
        <v>7.2</v>
      </c>
      <c r="F38">
        <v>0.97399999999999998</v>
      </c>
    </row>
    <row r="39" spans="4:6">
      <c r="D39">
        <v>15</v>
      </c>
      <c r="E39">
        <v>7.3</v>
      </c>
      <c r="F39">
        <v>0.97399999999999998</v>
      </c>
    </row>
    <row r="40" spans="4:6">
      <c r="D40">
        <v>10</v>
      </c>
      <c r="E40">
        <v>6</v>
      </c>
      <c r="F40">
        <v>0.97299999999999998</v>
      </c>
    </row>
    <row r="41" spans="4:6">
      <c r="D41">
        <v>7</v>
      </c>
      <c r="E41">
        <v>5.7</v>
      </c>
      <c r="F41">
        <v>0.98599999999999999</v>
      </c>
    </row>
    <row r="42" spans="4:6">
      <c r="D42">
        <v>7</v>
      </c>
      <c r="E42">
        <v>6</v>
      </c>
      <c r="F42">
        <v>0.999</v>
      </c>
    </row>
    <row r="43" spans="4:6">
      <c r="D43">
        <v>7</v>
      </c>
      <c r="E43">
        <v>6.9</v>
      </c>
      <c r="F43">
        <v>0.99199999999999999</v>
      </c>
    </row>
    <row r="44" spans="4:6">
      <c r="D44">
        <v>25</v>
      </c>
      <c r="E44">
        <v>7.3</v>
      </c>
      <c r="F44">
        <v>0.999</v>
      </c>
    </row>
    <row r="45" spans="4:6">
      <c r="D45">
        <v>20</v>
      </c>
      <c r="E45">
        <v>7.3</v>
      </c>
      <c r="F45">
        <v>0.97399999999999998</v>
      </c>
    </row>
    <row r="46" spans="4:6">
      <c r="D46">
        <v>10</v>
      </c>
      <c r="E46">
        <v>7.3</v>
      </c>
      <c r="F46">
        <v>0.999</v>
      </c>
    </row>
    <row r="47" spans="4:6">
      <c r="D47">
        <v>8</v>
      </c>
      <c r="E47">
        <v>5.0999999999999996</v>
      </c>
      <c r="F47">
        <v>0.999</v>
      </c>
    </row>
    <row r="48" spans="4:6">
      <c r="D48">
        <v>12</v>
      </c>
      <c r="E48">
        <v>4.4000000000000004</v>
      </c>
      <c r="F48">
        <v>0.999</v>
      </c>
    </row>
    <row r="49" spans="4:6">
      <c r="D49">
        <v>12</v>
      </c>
      <c r="E49">
        <v>4.5</v>
      </c>
      <c r="F49">
        <v>0.98899999999999999</v>
      </c>
    </row>
    <row r="50" spans="4:6">
      <c r="D50">
        <v>10</v>
      </c>
      <c r="E50">
        <v>4.9000000000000004</v>
      </c>
      <c r="F50">
        <v>0.98899999999999999</v>
      </c>
    </row>
    <row r="51" spans="4:6">
      <c r="D51">
        <v>8</v>
      </c>
      <c r="E51">
        <v>6.9</v>
      </c>
      <c r="F51">
        <v>0.999</v>
      </c>
    </row>
    <row r="52" spans="4:6">
      <c r="D52">
        <v>7</v>
      </c>
      <c r="E52">
        <v>6.9</v>
      </c>
      <c r="F52">
        <v>0.98599999999999999</v>
      </c>
    </row>
    <row r="53" spans="4:6">
      <c r="D53">
        <v>30</v>
      </c>
      <c r="E53">
        <v>7</v>
      </c>
      <c r="F53">
        <v>0.98</v>
      </c>
    </row>
    <row r="54" spans="4:6">
      <c r="D54">
        <v>30</v>
      </c>
      <c r="E54">
        <v>7.2</v>
      </c>
      <c r="F54">
        <v>0.999</v>
      </c>
    </row>
    <row r="55" spans="4:6">
      <c r="D55">
        <v>26</v>
      </c>
      <c r="E55">
        <v>7</v>
      </c>
      <c r="F55">
        <v>0.999</v>
      </c>
    </row>
    <row r="57" spans="4:6">
      <c r="D57" s="2" t="s">
        <v>235</v>
      </c>
    </row>
    <row r="58" spans="4:6">
      <c r="D58">
        <v>37</v>
      </c>
      <c r="E58">
        <v>3.9</v>
      </c>
      <c r="F58">
        <v>0.99199999999999999</v>
      </c>
    </row>
    <row r="59" spans="4:6">
      <c r="D59">
        <v>37</v>
      </c>
      <c r="E59">
        <v>3.9</v>
      </c>
      <c r="F59">
        <v>0.999</v>
      </c>
    </row>
    <row r="60" spans="4:6">
      <c r="D60">
        <v>37</v>
      </c>
      <c r="E60">
        <v>4.5999999999999996</v>
      </c>
      <c r="F60">
        <v>0.97399999999999998</v>
      </c>
    </row>
    <row r="61" spans="4:6">
      <c r="D61">
        <v>37</v>
      </c>
      <c r="E61">
        <v>7</v>
      </c>
      <c r="F61">
        <v>0.97299999999999998</v>
      </c>
    </row>
    <row r="62" spans="4:6">
      <c r="D62">
        <v>7</v>
      </c>
      <c r="E62">
        <v>5.7</v>
      </c>
      <c r="F62">
        <v>0.999</v>
      </c>
    </row>
    <row r="63" spans="4:6">
      <c r="D63">
        <v>37</v>
      </c>
      <c r="E63">
        <v>7.3</v>
      </c>
      <c r="F63">
        <v>0.97399999999999998</v>
      </c>
    </row>
    <row r="64" spans="4:6">
      <c r="D64">
        <v>7</v>
      </c>
      <c r="E64">
        <v>7</v>
      </c>
      <c r="F64">
        <v>0.98599999999999999</v>
      </c>
    </row>
    <row r="65" spans="4:6">
      <c r="D65">
        <v>10</v>
      </c>
      <c r="E65">
        <v>6</v>
      </c>
      <c r="F65">
        <v>0.97299999999999998</v>
      </c>
    </row>
    <row r="66" spans="4:6">
      <c r="D66">
        <v>7</v>
      </c>
      <c r="E66">
        <v>5.7</v>
      </c>
      <c r="F66">
        <v>0.98599999999999999</v>
      </c>
    </row>
    <row r="67" spans="4:6">
      <c r="D67">
        <v>10</v>
      </c>
      <c r="E67">
        <v>4.5999999999999996</v>
      </c>
      <c r="F67">
        <v>0.98699999999999999</v>
      </c>
    </row>
    <row r="68" spans="4:6">
      <c r="D68">
        <v>10</v>
      </c>
      <c r="E68">
        <v>6.9</v>
      </c>
      <c r="F68">
        <v>0.96699999999999997</v>
      </c>
    </row>
    <row r="69" spans="4:6">
      <c r="D69">
        <v>10</v>
      </c>
      <c r="E69">
        <v>9</v>
      </c>
      <c r="F69">
        <v>0.999</v>
      </c>
    </row>
    <row r="70" spans="4:6">
      <c r="D70">
        <v>12</v>
      </c>
      <c r="E70">
        <v>5</v>
      </c>
      <c r="F70">
        <v>0.97699999999999998</v>
      </c>
    </row>
    <row r="71" spans="4:6">
      <c r="D71">
        <v>20</v>
      </c>
      <c r="E71">
        <v>4.7</v>
      </c>
      <c r="F71">
        <v>0.97399999999999998</v>
      </c>
    </row>
    <row r="72" spans="4:6">
      <c r="D72">
        <v>20</v>
      </c>
      <c r="E72">
        <v>9</v>
      </c>
      <c r="F72">
        <v>0.999</v>
      </c>
    </row>
    <row r="73" spans="4:6">
      <c r="D73">
        <v>30</v>
      </c>
      <c r="E73">
        <v>4.5999999999999996</v>
      </c>
      <c r="F73">
        <v>0.97399999999999998</v>
      </c>
    </row>
    <row r="74" spans="4:6">
      <c r="D74">
        <v>30</v>
      </c>
      <c r="E74">
        <v>6.4</v>
      </c>
      <c r="F74">
        <v>0.96</v>
      </c>
    </row>
    <row r="75" spans="4:6">
      <c r="D75">
        <v>30</v>
      </c>
      <c r="E75">
        <v>7</v>
      </c>
      <c r="F75">
        <v>0.96</v>
      </c>
    </row>
    <row r="76" spans="4:6">
      <c r="D76">
        <v>45</v>
      </c>
      <c r="E76">
        <v>6.6</v>
      </c>
      <c r="F76">
        <v>0.999</v>
      </c>
    </row>
    <row r="77" spans="4:6">
      <c r="D77">
        <v>30</v>
      </c>
      <c r="E77">
        <v>3.9</v>
      </c>
      <c r="F77">
        <v>0.99199999999999999</v>
      </c>
    </row>
    <row r="78" spans="4:6">
      <c r="D78">
        <v>8</v>
      </c>
      <c r="E78">
        <v>5.0999999999999996</v>
      </c>
      <c r="F78">
        <v>0.999</v>
      </c>
    </row>
    <row r="79" spans="4:6">
      <c r="D79">
        <v>12</v>
      </c>
      <c r="E79">
        <v>4.4000000000000004</v>
      </c>
      <c r="F79">
        <v>0.999</v>
      </c>
    </row>
    <row r="80" spans="4:6">
      <c r="D80">
        <v>20</v>
      </c>
      <c r="E80">
        <v>4</v>
      </c>
      <c r="F80">
        <v>0.999</v>
      </c>
    </row>
    <row r="81" spans="4:6">
      <c r="D81">
        <v>30</v>
      </c>
      <c r="E81">
        <v>3.9</v>
      </c>
      <c r="F81">
        <v>0.999</v>
      </c>
    </row>
    <row r="82" spans="4:6">
      <c r="D82">
        <v>15</v>
      </c>
      <c r="E82">
        <v>4.0999999999999996</v>
      </c>
      <c r="F82">
        <v>0.99199999999999999</v>
      </c>
    </row>
    <row r="83" spans="4:6">
      <c r="D83">
        <v>6.7</v>
      </c>
      <c r="E83">
        <v>7.2</v>
      </c>
      <c r="F83">
        <v>0.999</v>
      </c>
    </row>
    <row r="85" spans="4:6">
      <c r="D85" s="2" t="s">
        <v>236</v>
      </c>
    </row>
    <row r="86" spans="4:6">
      <c r="D86" s="2">
        <v>5</v>
      </c>
      <c r="E86" s="2">
        <v>7</v>
      </c>
      <c r="F86" s="2">
        <v>1</v>
      </c>
    </row>
    <row r="87" spans="4:6">
      <c r="D87" s="2">
        <v>8</v>
      </c>
      <c r="E87" s="2">
        <v>4.9000000000000004</v>
      </c>
      <c r="F87" s="2">
        <v>0.98899999999999999</v>
      </c>
    </row>
    <row r="88" spans="4:6">
      <c r="D88" s="2">
        <v>10</v>
      </c>
      <c r="E88" s="2">
        <v>3.8</v>
      </c>
      <c r="F88" s="2">
        <v>1</v>
      </c>
    </row>
    <row r="89" spans="4:6">
      <c r="D89" s="2">
        <v>20</v>
      </c>
      <c r="E89" s="2">
        <v>5.0999999999999996</v>
      </c>
      <c r="F89" s="2">
        <v>0.96699999999999997</v>
      </c>
    </row>
    <row r="90" spans="4:6">
      <c r="D90" s="2">
        <v>37</v>
      </c>
      <c r="E90" s="2">
        <v>5.5</v>
      </c>
      <c r="F90" s="2">
        <v>0.95</v>
      </c>
    </row>
    <row r="91" spans="4:6">
      <c r="D91" s="2">
        <v>55</v>
      </c>
      <c r="E91" s="2">
        <v>11</v>
      </c>
      <c r="F91" s="2">
        <v>1</v>
      </c>
    </row>
    <row r="92" spans="4:6">
      <c r="D92" s="2">
        <v>0</v>
      </c>
      <c r="E92" s="2">
        <v>11</v>
      </c>
      <c r="F92" s="2">
        <v>1</v>
      </c>
    </row>
    <row r="93" spans="4:6">
      <c r="D93" s="2">
        <v>0</v>
      </c>
      <c r="E93" s="2">
        <v>11</v>
      </c>
      <c r="F93" s="2">
        <v>0.9</v>
      </c>
    </row>
    <row r="94" spans="4:6">
      <c r="D94" s="2">
        <v>55</v>
      </c>
      <c r="E94" s="2">
        <v>3.5</v>
      </c>
      <c r="F94" s="2">
        <v>1</v>
      </c>
    </row>
    <row r="95" spans="4:6">
      <c r="D95" s="2">
        <v>55</v>
      </c>
      <c r="E95" s="2">
        <v>11</v>
      </c>
      <c r="F95" s="2">
        <v>0.9</v>
      </c>
    </row>
  </sheetData>
  <phoneticPr fontId="0" type="noConversion"/>
  <printOptions gridLines="1" gridLinesSet="0"/>
  <pageMargins left="0.75" right="0.75" top="1" bottom="1" header="0.5" footer="0.5"/>
  <pageSetup paperSize="9" orientation="portrait" horizontalDpi="4294967292" r:id="rId1"/>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O120"/>
  <sheetViews>
    <sheetView workbookViewId="0">
      <selection activeCell="E28" sqref="E28"/>
    </sheetView>
  </sheetViews>
  <sheetFormatPr defaultColWidth="8.875" defaultRowHeight="12.75"/>
  <cols>
    <col min="1" max="1" width="8.375" style="2" customWidth="1"/>
    <col min="2" max="2" width="11.5" style="2" customWidth="1"/>
    <col min="3" max="3" width="8.375" style="2" customWidth="1"/>
    <col min="4" max="4" width="9.125" style="2" customWidth="1"/>
    <col min="5" max="5" width="8.125" style="2" customWidth="1"/>
    <col min="6" max="7" width="7.375" style="2" customWidth="1"/>
    <col min="8" max="8" width="7.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Orgs!B21</f>
        <v>Salmonellae + CO_2</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EXP(-3.1)</f>
        <v>4.5049202393557801E-2</v>
      </c>
      <c r="D3" s="30">
        <v>20</v>
      </c>
      <c r="E3" s="30">
        <v>7</v>
      </c>
      <c r="F3" s="32" t="s">
        <v>201</v>
      </c>
      <c r="G3" s="30">
        <v>0.5</v>
      </c>
      <c r="H3" s="30">
        <v>0</v>
      </c>
      <c r="I3" s="30"/>
      <c r="J3" s="30"/>
      <c r="K3" s="30"/>
      <c r="L3" s="30"/>
      <c r="M3" s="30"/>
      <c r="N3" s="30"/>
      <c r="O3" s="33"/>
    </row>
    <row r="4" spans="1:15">
      <c r="A4" s="29" t="s">
        <v>202</v>
      </c>
      <c r="B4" s="30"/>
      <c r="C4" s="34"/>
      <c r="D4" s="30">
        <v>7</v>
      </c>
      <c r="E4" s="30">
        <v>3.9</v>
      </c>
      <c r="F4" s="30"/>
      <c r="G4" s="30">
        <v>0</v>
      </c>
      <c r="H4" s="30">
        <v>0</v>
      </c>
      <c r="I4" s="30"/>
      <c r="J4" s="30"/>
      <c r="K4" s="30"/>
      <c r="L4" s="30"/>
      <c r="M4" s="30"/>
      <c r="N4" s="30"/>
      <c r="O4" s="33"/>
    </row>
    <row r="5" spans="1:15" ht="13.5" thickBot="1">
      <c r="A5" s="35" t="s">
        <v>203</v>
      </c>
      <c r="B5" s="36"/>
      <c r="C5" s="37"/>
      <c r="D5" s="36">
        <v>30</v>
      </c>
      <c r="E5" s="36">
        <v>7.4</v>
      </c>
      <c r="F5" s="36"/>
      <c r="G5" s="36">
        <v>4.5999999999999996</v>
      </c>
      <c r="H5" s="36">
        <v>100</v>
      </c>
      <c r="I5" s="36"/>
      <c r="J5" s="36"/>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240</v>
      </c>
      <c r="I8" s="36" t="s">
        <v>211</v>
      </c>
      <c r="J8" s="36" t="s">
        <v>211</v>
      </c>
      <c r="K8" s="36" t="s">
        <v>211</v>
      </c>
      <c r="L8" s="36" t="s">
        <v>211</v>
      </c>
      <c r="M8" s="36" t="s">
        <v>211</v>
      </c>
      <c r="N8" s="36" t="s">
        <v>211</v>
      </c>
      <c r="O8" s="38" t="s">
        <v>211</v>
      </c>
    </row>
    <row r="9" spans="1:15" ht="13.5" thickBot="1">
      <c r="A9" s="2" t="s">
        <v>212</v>
      </c>
      <c r="D9" s="2">
        <v>3</v>
      </c>
      <c r="E9" s="2">
        <v>1</v>
      </c>
      <c r="F9" s="2">
        <v>0.02</v>
      </c>
      <c r="H9" s="2">
        <v>50</v>
      </c>
    </row>
    <row r="10" spans="1:15" ht="14.25">
      <c r="A10" s="39"/>
      <c r="B10" s="53" t="s">
        <v>213</v>
      </c>
      <c r="C10" s="27"/>
      <c r="D10" s="27"/>
      <c r="E10" s="43"/>
      <c r="F10" s="43"/>
      <c r="G10" s="44"/>
      <c r="H10" s="56" t="s">
        <v>214</v>
      </c>
      <c r="I10" s="45"/>
    </row>
    <row r="11" spans="1:15">
      <c r="A11" s="29" t="s">
        <v>215</v>
      </c>
      <c r="B11" s="32">
        <v>0.25</v>
      </c>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amp;B24&amp;"*("&amp;C24&amp;")+"&amp;B25&amp;"*("&amp;C25&amp;")+"&amp;B26&amp;"*("&amp;C26&amp;")+"&amp;B27&amp;"*("&amp;C27&amp;")+"&amp;B28&amp;"*("&amp;C28&amp;"))"</f>
        <v xml:space="preserve"> =EXP(1*(-13.32)+tr*(0.4436)+pr*(1.993)+bw*(8.097)+tr*pr*(-0.01241)+tr*bw*(0.1402)+pr*bw*(0.4664)+tr^2*(-0.005751)+pr^2*(-0.1347)+bw^2*(-88.92)+Cr*(0.00231)+tr*Cr*(0.0006249)+pr*Cr*(-0.002737)+bw*Cr*(-0.0205)+Cr^2*(-0.00001588))</v>
      </c>
      <c r="C12" s="49"/>
      <c r="D12" s="50"/>
      <c r="E12" s="49"/>
      <c r="F12" s="50"/>
      <c r="G12" s="51"/>
      <c r="H12" s="36">
        <f>19.6/2.3</f>
        <v>8.5217391304347831</v>
      </c>
      <c r="I12" s="38"/>
    </row>
    <row r="13" spans="1:15">
      <c r="C13" s="88"/>
      <c r="D13" s="87"/>
      <c r="E13" s="87"/>
      <c r="G13" s="87"/>
      <c r="H13"/>
    </row>
    <row r="14" spans="1:15">
      <c r="A14" s="1">
        <v>1</v>
      </c>
      <c r="B14" s="24">
        <v>1</v>
      </c>
      <c r="C14" s="22">
        <v>-13.32</v>
      </c>
      <c r="D14"/>
      <c r="E14"/>
      <c r="F14"/>
    </row>
    <row r="15" spans="1:15">
      <c r="A15" s="1">
        <v>20</v>
      </c>
      <c r="B15" s="24" t="s">
        <v>45</v>
      </c>
      <c r="C15" s="22">
        <v>0.44359999999999999</v>
      </c>
      <c r="D15"/>
      <c r="E15"/>
      <c r="F15"/>
    </row>
    <row r="16" spans="1:15">
      <c r="A16" s="1">
        <v>7</v>
      </c>
      <c r="B16" s="24" t="s">
        <v>46</v>
      </c>
      <c r="C16" s="22">
        <v>1.9930000000000001</v>
      </c>
      <c r="D16"/>
      <c r="E16"/>
      <c r="F16"/>
    </row>
    <row r="17" spans="1:8">
      <c r="A17" s="1">
        <v>0.5</v>
      </c>
      <c r="B17" s="24" t="s">
        <v>47</v>
      </c>
      <c r="C17" s="22">
        <v>8.0969999999999995</v>
      </c>
      <c r="D17"/>
      <c r="E17"/>
      <c r="F17"/>
    </row>
    <row r="18" spans="1:8">
      <c r="A18" s="1">
        <f>A$15*A$16</f>
        <v>140</v>
      </c>
      <c r="B18" s="24" t="s">
        <v>222</v>
      </c>
      <c r="C18" s="22">
        <v>-1.2409999999999999E-2</v>
      </c>
      <c r="D18"/>
      <c r="E18"/>
      <c r="F18"/>
    </row>
    <row r="19" spans="1:8">
      <c r="A19" s="1">
        <f>A$15*A$17</f>
        <v>10</v>
      </c>
      <c r="B19" s="24" t="s">
        <v>225</v>
      </c>
      <c r="C19" s="22">
        <v>0.14019999999999999</v>
      </c>
      <c r="D19"/>
      <c r="E19"/>
    </row>
    <row r="20" spans="1:8">
      <c r="A20" s="1">
        <f>A$16*A$17</f>
        <v>3.5</v>
      </c>
      <c r="B20" s="24" t="s">
        <v>227</v>
      </c>
      <c r="C20" s="22">
        <v>0.46639999999999998</v>
      </c>
      <c r="D20"/>
      <c r="E20"/>
    </row>
    <row r="21" spans="1:8">
      <c r="A21" s="1">
        <f>A$15^2</f>
        <v>400</v>
      </c>
      <c r="B21" s="24" t="s">
        <v>229</v>
      </c>
      <c r="C21" s="22">
        <v>-5.751E-3</v>
      </c>
      <c r="D21"/>
      <c r="E21"/>
    </row>
    <row r="22" spans="1:8">
      <c r="A22" s="1">
        <f>A$16^2</f>
        <v>49</v>
      </c>
      <c r="B22" s="24" t="s">
        <v>231</v>
      </c>
      <c r="C22" s="22">
        <v>-0.13469999999999999</v>
      </c>
      <c r="D22"/>
      <c r="E22"/>
    </row>
    <row r="23" spans="1:8">
      <c r="A23" s="1">
        <f>A$17^2</f>
        <v>0.25</v>
      </c>
      <c r="B23" s="24" t="s">
        <v>233</v>
      </c>
      <c r="C23" s="22">
        <v>-88.92</v>
      </c>
      <c r="D23"/>
      <c r="E23"/>
    </row>
    <row r="24" spans="1:8">
      <c r="A24" s="1">
        <v>20</v>
      </c>
      <c r="B24" s="24" t="s">
        <v>49</v>
      </c>
      <c r="C24" s="22">
        <v>2.31E-3</v>
      </c>
      <c r="D24"/>
      <c r="E24"/>
    </row>
    <row r="25" spans="1:8">
      <c r="A25" s="1">
        <f>A$15*A$24</f>
        <v>400</v>
      </c>
      <c r="B25" s="24" t="s">
        <v>241</v>
      </c>
      <c r="C25" s="22">
        <v>6.2489999999999996E-4</v>
      </c>
      <c r="D25"/>
      <c r="E25"/>
    </row>
    <row r="26" spans="1:8">
      <c r="A26" s="1">
        <f>A$16*A$24</f>
        <v>140</v>
      </c>
      <c r="B26" s="24" t="s">
        <v>242</v>
      </c>
      <c r="C26" s="22">
        <v>-2.7369999999999998E-3</v>
      </c>
      <c r="D26"/>
      <c r="E26"/>
    </row>
    <row r="27" spans="1:8">
      <c r="A27" s="1">
        <f>A$17*A$24</f>
        <v>10</v>
      </c>
      <c r="B27" s="24" t="s">
        <v>243</v>
      </c>
      <c r="C27" s="22">
        <v>-2.0500000000000001E-2</v>
      </c>
      <c r="D27"/>
      <c r="E27"/>
    </row>
    <row r="28" spans="1:8">
      <c r="A28" s="1">
        <f>A$24^2</f>
        <v>400</v>
      </c>
      <c r="B28" s="24" t="s">
        <v>244</v>
      </c>
      <c r="C28" s="22">
        <v>-1.588E-5</v>
      </c>
      <c r="D28"/>
      <c r="E28"/>
    </row>
    <row r="29" spans="1:8">
      <c r="C29" s="89"/>
      <c r="D29"/>
      <c r="E29"/>
      <c r="G29" s="85"/>
    </row>
    <row r="30" spans="1:8">
      <c r="C30" s="25"/>
      <c r="D30" s="124" t="s">
        <v>234</v>
      </c>
      <c r="E30"/>
    </row>
    <row r="31" spans="1:8">
      <c r="C31" s="90"/>
      <c r="D31">
        <v>30</v>
      </c>
      <c r="E31">
        <v>3.9</v>
      </c>
      <c r="F31">
        <v>0.99199999999999999</v>
      </c>
      <c r="H31">
        <v>0</v>
      </c>
    </row>
    <row r="32" spans="1:8">
      <c r="D32">
        <v>20</v>
      </c>
      <c r="E32">
        <v>4.7</v>
      </c>
      <c r="F32">
        <v>0.97399999999999998</v>
      </c>
      <c r="H32">
        <v>0</v>
      </c>
    </row>
    <row r="33" spans="4:8">
      <c r="D33">
        <v>15</v>
      </c>
      <c r="E33">
        <v>6</v>
      </c>
      <c r="F33">
        <v>0.97299999999999998</v>
      </c>
      <c r="H33">
        <v>0</v>
      </c>
    </row>
    <row r="34" spans="4:8">
      <c r="D34">
        <v>30</v>
      </c>
      <c r="E34">
        <v>6.9</v>
      </c>
      <c r="F34">
        <v>0.97399999999999998</v>
      </c>
      <c r="H34">
        <v>0</v>
      </c>
    </row>
    <row r="35" spans="4:8">
      <c r="D35">
        <v>30</v>
      </c>
      <c r="E35">
        <v>3.9</v>
      </c>
      <c r="F35">
        <v>0.999</v>
      </c>
      <c r="H35">
        <v>0</v>
      </c>
    </row>
    <row r="36" spans="4:8">
      <c r="D36">
        <v>30</v>
      </c>
      <c r="E36">
        <v>4.5999999999999996</v>
      </c>
      <c r="F36">
        <v>0.97399999999999998</v>
      </c>
      <c r="H36">
        <v>0</v>
      </c>
    </row>
    <row r="37" spans="4:8">
      <c r="D37">
        <v>20</v>
      </c>
      <c r="E37">
        <v>4</v>
      </c>
      <c r="F37">
        <v>0.999</v>
      </c>
      <c r="H37">
        <v>0</v>
      </c>
    </row>
    <row r="38" spans="4:8">
      <c r="D38">
        <v>10</v>
      </c>
      <c r="E38">
        <v>7.2</v>
      </c>
      <c r="F38">
        <v>0.97399999999999998</v>
      </c>
      <c r="H38">
        <v>0</v>
      </c>
    </row>
    <row r="39" spans="4:8">
      <c r="D39">
        <v>15</v>
      </c>
      <c r="E39">
        <v>7.3</v>
      </c>
      <c r="F39">
        <v>0.97399999999999998</v>
      </c>
      <c r="H39">
        <v>0</v>
      </c>
    </row>
    <row r="40" spans="4:8">
      <c r="D40">
        <v>10</v>
      </c>
      <c r="E40">
        <v>6</v>
      </c>
      <c r="F40">
        <v>0.97299999999999998</v>
      </c>
      <c r="H40">
        <v>0</v>
      </c>
    </row>
    <row r="41" spans="4:8">
      <c r="D41">
        <v>7</v>
      </c>
      <c r="E41">
        <v>5.7</v>
      </c>
      <c r="F41">
        <v>0.98599999999999999</v>
      </c>
      <c r="H41">
        <v>0</v>
      </c>
    </row>
    <row r="42" spans="4:8">
      <c r="D42">
        <v>7</v>
      </c>
      <c r="E42">
        <v>6</v>
      </c>
      <c r="F42">
        <v>0.999</v>
      </c>
      <c r="H42">
        <v>0</v>
      </c>
    </row>
    <row r="43" spans="4:8">
      <c r="D43">
        <v>7</v>
      </c>
      <c r="E43">
        <v>6.9</v>
      </c>
      <c r="F43">
        <v>0.99199999999999999</v>
      </c>
      <c r="H43">
        <v>0</v>
      </c>
    </row>
    <row r="44" spans="4:8">
      <c r="D44">
        <v>25</v>
      </c>
      <c r="E44">
        <v>7.3</v>
      </c>
      <c r="F44">
        <v>0.999</v>
      </c>
      <c r="H44">
        <v>0</v>
      </c>
    </row>
    <row r="45" spans="4:8">
      <c r="D45">
        <v>20</v>
      </c>
      <c r="E45">
        <v>7.3</v>
      </c>
      <c r="F45">
        <v>0.97399999999999998</v>
      </c>
      <c r="H45">
        <v>0</v>
      </c>
    </row>
    <row r="46" spans="4:8">
      <c r="D46">
        <v>10</v>
      </c>
      <c r="E46">
        <v>7.3</v>
      </c>
      <c r="F46">
        <v>0.999</v>
      </c>
      <c r="H46">
        <v>0</v>
      </c>
    </row>
    <row r="47" spans="4:8">
      <c r="D47">
        <v>8</v>
      </c>
      <c r="E47">
        <v>5.0999999999999996</v>
      </c>
      <c r="F47">
        <v>0.999</v>
      </c>
      <c r="H47">
        <v>0</v>
      </c>
    </row>
    <row r="48" spans="4:8">
      <c r="D48">
        <v>12</v>
      </c>
      <c r="E48">
        <v>4.4000000000000004</v>
      </c>
      <c r="F48">
        <v>0.999</v>
      </c>
      <c r="H48">
        <v>0</v>
      </c>
    </row>
    <row r="49" spans="4:8">
      <c r="D49">
        <v>12</v>
      </c>
      <c r="E49">
        <v>4.5</v>
      </c>
      <c r="F49">
        <v>0.98899999999999999</v>
      </c>
      <c r="H49">
        <v>0</v>
      </c>
    </row>
    <row r="50" spans="4:8">
      <c r="D50">
        <v>10</v>
      </c>
      <c r="E50">
        <v>4.9000000000000004</v>
      </c>
      <c r="F50">
        <v>0.98899999999999999</v>
      </c>
      <c r="H50">
        <v>0</v>
      </c>
    </row>
    <row r="51" spans="4:8">
      <c r="D51">
        <v>8</v>
      </c>
      <c r="E51">
        <v>6.9</v>
      </c>
      <c r="F51">
        <v>0.999</v>
      </c>
      <c r="H51">
        <v>0</v>
      </c>
    </row>
    <row r="52" spans="4:8">
      <c r="D52">
        <v>8</v>
      </c>
      <c r="E52">
        <v>5.0999999999999996</v>
      </c>
      <c r="F52">
        <v>0.999</v>
      </c>
      <c r="H52">
        <v>50</v>
      </c>
    </row>
    <row r="53" spans="4:8">
      <c r="D53">
        <v>12</v>
      </c>
      <c r="E53">
        <v>4.5</v>
      </c>
      <c r="F53">
        <v>0.999</v>
      </c>
      <c r="H53">
        <v>100</v>
      </c>
    </row>
    <row r="54" spans="4:8">
      <c r="D54">
        <v>12</v>
      </c>
      <c r="E54">
        <v>6.7</v>
      </c>
      <c r="F54">
        <v>0.999</v>
      </c>
      <c r="H54">
        <v>100</v>
      </c>
    </row>
    <row r="55" spans="4:8">
      <c r="D55">
        <v>12</v>
      </c>
      <c r="E55">
        <v>5</v>
      </c>
      <c r="F55">
        <v>0.98899999999999999</v>
      </c>
      <c r="H55">
        <v>100</v>
      </c>
    </row>
    <row r="56" spans="4:8">
      <c r="D56">
        <v>20</v>
      </c>
      <c r="E56">
        <v>4.5</v>
      </c>
      <c r="F56">
        <v>0.999</v>
      </c>
      <c r="H56">
        <v>100</v>
      </c>
    </row>
    <row r="57" spans="4:8">
      <c r="D57">
        <v>20</v>
      </c>
      <c r="E57">
        <v>6.7</v>
      </c>
      <c r="F57">
        <v>0.999</v>
      </c>
      <c r="H57">
        <v>100</v>
      </c>
    </row>
    <row r="58" spans="4:8">
      <c r="D58">
        <v>20</v>
      </c>
      <c r="E58">
        <v>6.7</v>
      </c>
      <c r="F58">
        <v>0.97699999999999998</v>
      </c>
      <c r="H58">
        <v>100</v>
      </c>
    </row>
    <row r="59" spans="4:8">
      <c r="D59">
        <v>7</v>
      </c>
      <c r="E59">
        <v>6.9</v>
      </c>
      <c r="F59">
        <v>0.98599999999999999</v>
      </c>
      <c r="H59">
        <v>0</v>
      </c>
    </row>
    <row r="60" spans="4:8">
      <c r="D60">
        <v>20</v>
      </c>
      <c r="E60">
        <v>5</v>
      </c>
      <c r="F60">
        <v>0.97699999999999998</v>
      </c>
      <c r="H60">
        <v>100</v>
      </c>
    </row>
    <row r="61" spans="4:8">
      <c r="D61">
        <v>12</v>
      </c>
      <c r="E61">
        <v>5.4</v>
      </c>
      <c r="F61">
        <v>0.98899999999999999</v>
      </c>
      <c r="H61">
        <v>100</v>
      </c>
    </row>
    <row r="62" spans="4:8">
      <c r="D62">
        <v>10</v>
      </c>
      <c r="E62">
        <v>5.0999999999999996</v>
      </c>
      <c r="F62">
        <v>0.98899999999999999</v>
      </c>
      <c r="H62">
        <v>60</v>
      </c>
    </row>
    <row r="63" spans="4:8">
      <c r="D63">
        <v>30</v>
      </c>
      <c r="E63">
        <v>7</v>
      </c>
      <c r="F63">
        <v>0.98</v>
      </c>
      <c r="H63">
        <v>0</v>
      </c>
    </row>
    <row r="64" spans="4:8">
      <c r="D64">
        <v>30</v>
      </c>
      <c r="E64">
        <v>7.2</v>
      </c>
      <c r="F64">
        <v>0.999</v>
      </c>
      <c r="H64">
        <v>0</v>
      </c>
    </row>
    <row r="65" spans="4:8">
      <c r="D65">
        <v>26</v>
      </c>
      <c r="E65">
        <v>7</v>
      </c>
      <c r="F65">
        <v>0.999</v>
      </c>
      <c r="H65">
        <v>0</v>
      </c>
    </row>
    <row r="67" spans="4:8">
      <c r="D67" s="2" t="s">
        <v>235</v>
      </c>
    </row>
    <row r="68" spans="4:8">
      <c r="D68">
        <v>37</v>
      </c>
      <c r="E68">
        <v>3.9</v>
      </c>
      <c r="F68">
        <v>0.99199999999999999</v>
      </c>
      <c r="H68">
        <v>0</v>
      </c>
    </row>
    <row r="69" spans="4:8">
      <c r="D69">
        <v>37</v>
      </c>
      <c r="E69">
        <v>3.9</v>
      </c>
      <c r="F69">
        <v>0.999</v>
      </c>
      <c r="H69">
        <v>0</v>
      </c>
    </row>
    <row r="70" spans="4:8">
      <c r="D70">
        <v>37</v>
      </c>
      <c r="E70">
        <v>4.5999999999999996</v>
      </c>
      <c r="F70">
        <v>0.97399999999999998</v>
      </c>
      <c r="H70">
        <v>0</v>
      </c>
    </row>
    <row r="71" spans="4:8">
      <c r="D71">
        <v>37</v>
      </c>
      <c r="E71">
        <v>7</v>
      </c>
      <c r="F71">
        <v>0.97299999999999998</v>
      </c>
      <c r="H71">
        <v>0</v>
      </c>
    </row>
    <row r="72" spans="4:8">
      <c r="D72">
        <v>7</v>
      </c>
      <c r="E72">
        <v>5.7</v>
      </c>
      <c r="F72">
        <v>0.999</v>
      </c>
      <c r="H72">
        <v>0</v>
      </c>
    </row>
    <row r="73" spans="4:8">
      <c r="D73">
        <v>37</v>
      </c>
      <c r="E73">
        <v>7.3</v>
      </c>
      <c r="F73">
        <v>0.97399999999999998</v>
      </c>
      <c r="H73">
        <v>0</v>
      </c>
    </row>
    <row r="74" spans="4:8">
      <c r="D74">
        <v>8</v>
      </c>
      <c r="E74">
        <v>7</v>
      </c>
      <c r="F74">
        <v>0.999</v>
      </c>
      <c r="H74">
        <v>50</v>
      </c>
    </row>
    <row r="75" spans="4:8">
      <c r="D75">
        <v>37</v>
      </c>
      <c r="E75">
        <v>4.5</v>
      </c>
      <c r="F75">
        <v>0.999</v>
      </c>
      <c r="H75">
        <v>100</v>
      </c>
    </row>
    <row r="76" spans="4:8">
      <c r="D76">
        <v>37</v>
      </c>
      <c r="E76">
        <v>7</v>
      </c>
      <c r="F76">
        <v>0.999</v>
      </c>
      <c r="H76">
        <v>100</v>
      </c>
    </row>
    <row r="77" spans="4:8">
      <c r="D77">
        <v>7</v>
      </c>
      <c r="E77">
        <v>7</v>
      </c>
      <c r="F77">
        <v>0.98599999999999999</v>
      </c>
      <c r="H77">
        <v>0</v>
      </c>
    </row>
    <row r="78" spans="4:8">
      <c r="D78">
        <v>37</v>
      </c>
      <c r="E78">
        <v>5</v>
      </c>
      <c r="F78">
        <v>0.97699999999999998</v>
      </c>
      <c r="H78">
        <v>100</v>
      </c>
    </row>
    <row r="79" spans="4:8">
      <c r="D79">
        <v>20</v>
      </c>
      <c r="E79">
        <v>7</v>
      </c>
      <c r="F79">
        <v>0.97699999999999998</v>
      </c>
      <c r="H79">
        <v>100</v>
      </c>
    </row>
    <row r="80" spans="4:8">
      <c r="D80">
        <v>37</v>
      </c>
      <c r="E80">
        <v>7</v>
      </c>
      <c r="F80">
        <v>0.97699999999999998</v>
      </c>
      <c r="H80">
        <v>100</v>
      </c>
    </row>
    <row r="81" spans="4:8">
      <c r="D81">
        <v>12</v>
      </c>
      <c r="E81">
        <v>7</v>
      </c>
      <c r="F81">
        <v>0.98899999999999999</v>
      </c>
      <c r="H81">
        <v>100</v>
      </c>
    </row>
    <row r="82" spans="4:8">
      <c r="D82">
        <v>12</v>
      </c>
      <c r="E82">
        <v>7</v>
      </c>
      <c r="F82">
        <v>0.999</v>
      </c>
      <c r="H82">
        <v>100</v>
      </c>
    </row>
    <row r="83" spans="4:8">
      <c r="D83">
        <v>8</v>
      </c>
      <c r="E83">
        <v>5.0999999999999996</v>
      </c>
      <c r="F83">
        <v>0.999</v>
      </c>
      <c r="H83">
        <v>50</v>
      </c>
    </row>
    <row r="84" spans="4:8">
      <c r="D84">
        <v>10</v>
      </c>
      <c r="E84">
        <v>6</v>
      </c>
      <c r="F84">
        <v>0.999</v>
      </c>
      <c r="H84">
        <v>100</v>
      </c>
    </row>
    <row r="85" spans="4:8">
      <c r="D85">
        <v>12</v>
      </c>
      <c r="E85">
        <v>5</v>
      </c>
      <c r="F85">
        <v>0.98899999999999999</v>
      </c>
      <c r="H85">
        <v>100</v>
      </c>
    </row>
    <row r="86" spans="4:8">
      <c r="D86">
        <v>12</v>
      </c>
      <c r="E86">
        <v>4.5</v>
      </c>
      <c r="F86">
        <v>0.999</v>
      </c>
      <c r="H86">
        <v>100</v>
      </c>
    </row>
    <row r="87" spans="4:8">
      <c r="D87">
        <v>20</v>
      </c>
      <c r="E87">
        <v>5</v>
      </c>
      <c r="F87">
        <v>0.97699999999999998</v>
      </c>
      <c r="H87">
        <v>100</v>
      </c>
    </row>
    <row r="88" spans="4:8">
      <c r="D88">
        <v>7</v>
      </c>
      <c r="E88">
        <v>5.7</v>
      </c>
      <c r="F88">
        <v>0.98599999999999999</v>
      </c>
      <c r="H88">
        <v>0</v>
      </c>
    </row>
    <row r="89" spans="4:8">
      <c r="D89">
        <v>10</v>
      </c>
      <c r="E89">
        <v>4.5999999999999996</v>
      </c>
      <c r="F89">
        <v>0.98699999999999999</v>
      </c>
      <c r="H89">
        <v>0</v>
      </c>
    </row>
    <row r="90" spans="4:8">
      <c r="D90">
        <v>10</v>
      </c>
      <c r="E90">
        <v>6.9</v>
      </c>
      <c r="F90">
        <v>0.96699999999999997</v>
      </c>
      <c r="H90">
        <v>0</v>
      </c>
    </row>
    <row r="91" spans="4:8">
      <c r="D91">
        <v>10</v>
      </c>
      <c r="E91">
        <v>9</v>
      </c>
      <c r="F91">
        <v>0.999</v>
      </c>
      <c r="H91">
        <v>0</v>
      </c>
    </row>
    <row r="92" spans="4:8">
      <c r="D92">
        <v>12</v>
      </c>
      <c r="E92">
        <v>5</v>
      </c>
      <c r="F92">
        <v>0.97699999999999998</v>
      </c>
      <c r="H92">
        <v>0</v>
      </c>
    </row>
    <row r="93" spans="4:8">
      <c r="D93">
        <v>20</v>
      </c>
      <c r="E93">
        <v>4.7</v>
      </c>
      <c r="F93">
        <v>0.97399999999999998</v>
      </c>
      <c r="H93">
        <v>0</v>
      </c>
    </row>
    <row r="94" spans="4:8">
      <c r="D94">
        <v>20</v>
      </c>
      <c r="E94">
        <v>9</v>
      </c>
      <c r="F94">
        <v>0.999</v>
      </c>
      <c r="H94">
        <v>0</v>
      </c>
    </row>
    <row r="95" spans="4:8">
      <c r="D95">
        <v>30</v>
      </c>
      <c r="E95">
        <v>6.4</v>
      </c>
      <c r="F95">
        <v>0.96</v>
      </c>
      <c r="H95">
        <v>0</v>
      </c>
    </row>
    <row r="96" spans="4:8">
      <c r="D96">
        <v>30</v>
      </c>
      <c r="E96">
        <v>7</v>
      </c>
      <c r="F96">
        <v>0.96</v>
      </c>
      <c r="H96">
        <v>0</v>
      </c>
    </row>
    <row r="97" spans="4:8">
      <c r="D97">
        <v>45</v>
      </c>
      <c r="E97">
        <v>6.6</v>
      </c>
      <c r="F97">
        <v>0.999</v>
      </c>
      <c r="H97">
        <v>0</v>
      </c>
    </row>
    <row r="98" spans="4:8">
      <c r="D98">
        <v>30</v>
      </c>
      <c r="E98">
        <v>3.9</v>
      </c>
      <c r="F98">
        <v>0.99199999999999999</v>
      </c>
      <c r="H98">
        <v>0</v>
      </c>
    </row>
    <row r="99" spans="4:8">
      <c r="D99">
        <v>8</v>
      </c>
      <c r="E99">
        <v>5.0999999999999996</v>
      </c>
      <c r="F99">
        <v>0.999</v>
      </c>
      <c r="H99">
        <v>0</v>
      </c>
    </row>
    <row r="100" spans="4:8">
      <c r="D100">
        <v>12</v>
      </c>
      <c r="E100">
        <v>4.4000000000000004</v>
      </c>
      <c r="F100">
        <v>0.999</v>
      </c>
      <c r="H100">
        <v>0</v>
      </c>
    </row>
    <row r="101" spans="4:8">
      <c r="D101">
        <v>20</v>
      </c>
      <c r="E101">
        <v>4</v>
      </c>
      <c r="F101">
        <v>0.999</v>
      </c>
      <c r="H101">
        <v>0</v>
      </c>
    </row>
    <row r="102" spans="4:8">
      <c r="D102">
        <v>30</v>
      </c>
      <c r="E102">
        <v>3.9</v>
      </c>
      <c r="F102">
        <v>0.999</v>
      </c>
      <c r="H102">
        <v>0</v>
      </c>
    </row>
    <row r="103" spans="4:8">
      <c r="D103">
        <v>15</v>
      </c>
      <c r="E103">
        <v>4.0999999999999996</v>
      </c>
      <c r="F103">
        <v>0.99199999999999999</v>
      </c>
      <c r="H103">
        <v>0</v>
      </c>
    </row>
    <row r="104" spans="4:8">
      <c r="D104">
        <v>6.7</v>
      </c>
      <c r="E104">
        <v>7.2</v>
      </c>
      <c r="F104">
        <v>0.999</v>
      </c>
      <c r="H104">
        <v>0</v>
      </c>
    </row>
    <row r="106" spans="4:8">
      <c r="D106" s="2" t="s">
        <v>236</v>
      </c>
    </row>
    <row r="107" spans="4:8">
      <c r="D107" s="2">
        <v>8</v>
      </c>
      <c r="E107" s="2">
        <v>6.8</v>
      </c>
      <c r="F107" s="2">
        <v>1</v>
      </c>
      <c r="H107" s="2">
        <v>100</v>
      </c>
    </row>
    <row r="108" spans="4:8">
      <c r="D108" s="2">
        <v>0</v>
      </c>
      <c r="E108" s="2">
        <v>11</v>
      </c>
      <c r="F108" s="2">
        <v>1</v>
      </c>
      <c r="H108" s="2">
        <v>0</v>
      </c>
    </row>
    <row r="109" spans="4:8">
      <c r="D109" s="2">
        <v>0</v>
      </c>
      <c r="E109" s="2">
        <v>11</v>
      </c>
      <c r="F109" s="2">
        <v>0.9</v>
      </c>
      <c r="H109" s="2">
        <v>0</v>
      </c>
    </row>
    <row r="110" spans="4:8">
      <c r="D110" s="2">
        <v>55</v>
      </c>
      <c r="E110" s="2">
        <v>3.5</v>
      </c>
      <c r="F110" s="2">
        <v>1</v>
      </c>
      <c r="H110" s="2">
        <v>0</v>
      </c>
    </row>
    <row r="111" spans="4:8">
      <c r="D111" s="2">
        <v>55</v>
      </c>
      <c r="E111" s="2">
        <v>3.5</v>
      </c>
      <c r="F111" s="2">
        <v>0.9</v>
      </c>
      <c r="H111" s="2">
        <v>0</v>
      </c>
    </row>
    <row r="112" spans="4:8">
      <c r="D112" s="2">
        <v>55</v>
      </c>
      <c r="E112" s="2">
        <v>11</v>
      </c>
      <c r="F112" s="2">
        <v>1</v>
      </c>
      <c r="H112" s="2">
        <v>0</v>
      </c>
    </row>
    <row r="113" spans="4:8">
      <c r="D113" s="2">
        <v>0</v>
      </c>
      <c r="E113" s="2">
        <v>3.5</v>
      </c>
      <c r="F113" s="2">
        <v>1</v>
      </c>
      <c r="H113" s="2">
        <v>100</v>
      </c>
    </row>
    <row r="114" spans="4:8">
      <c r="D114" s="2">
        <v>55</v>
      </c>
      <c r="E114" s="2">
        <v>3.5</v>
      </c>
      <c r="F114" s="2">
        <v>1</v>
      </c>
      <c r="H114" s="2">
        <v>100</v>
      </c>
    </row>
    <row r="115" spans="4:8">
      <c r="D115" s="2">
        <v>55</v>
      </c>
      <c r="E115" s="2">
        <v>3.5</v>
      </c>
      <c r="F115" s="2">
        <v>0.9</v>
      </c>
      <c r="H115" s="2">
        <v>100</v>
      </c>
    </row>
    <row r="116" spans="4:8">
      <c r="D116" s="2">
        <v>55</v>
      </c>
      <c r="E116" s="2">
        <v>11</v>
      </c>
      <c r="F116" s="2">
        <v>1</v>
      </c>
      <c r="H116" s="2">
        <v>100</v>
      </c>
    </row>
    <row r="117" spans="4:8">
      <c r="D117" s="2">
        <v>55</v>
      </c>
      <c r="E117" s="2">
        <v>11</v>
      </c>
      <c r="F117" s="2">
        <v>0.9</v>
      </c>
      <c r="H117" s="2">
        <v>100</v>
      </c>
    </row>
    <row r="118" spans="4:8">
      <c r="D118" s="2">
        <v>5</v>
      </c>
      <c r="E118" s="2">
        <v>7</v>
      </c>
      <c r="F118" s="2">
        <v>1</v>
      </c>
      <c r="H118" s="2">
        <v>0</v>
      </c>
    </row>
    <row r="119" spans="4:8">
      <c r="D119" s="2">
        <v>8</v>
      </c>
      <c r="E119" s="2">
        <v>4.9000000000000004</v>
      </c>
      <c r="F119" s="2">
        <v>0.98899999999999999</v>
      </c>
      <c r="H119" s="2">
        <v>0</v>
      </c>
    </row>
    <row r="120" spans="4:8">
      <c r="D120" s="2">
        <v>10</v>
      </c>
      <c r="E120" s="2">
        <v>3.8</v>
      </c>
      <c r="F120" s="2">
        <v>1</v>
      </c>
      <c r="H120" s="2">
        <v>0</v>
      </c>
    </row>
  </sheetData>
  <phoneticPr fontId="0" type="noConversion"/>
  <printOptions gridLines="1" gridLinesSet="0"/>
  <pageMargins left="0.75" right="0.75" top="1" bottom="1" header="0.5" footer="0.5"/>
  <pageSetup paperSize="9" orientation="portrait" horizontalDpi="4294967292" r:id="rId1"/>
  <headerFooter alignWithMargins="0">
    <oddHeader>&amp;A</oddHeader>
    <oddFooter>Page &amp;P</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O117"/>
  <sheetViews>
    <sheetView workbookViewId="0">
      <selection activeCell="E28" sqref="E28"/>
    </sheetView>
  </sheetViews>
  <sheetFormatPr defaultColWidth="8.875" defaultRowHeight="12.75"/>
  <cols>
    <col min="1" max="1" width="8.375" style="2" customWidth="1"/>
    <col min="2" max="2" width="11.5" style="2" customWidth="1"/>
    <col min="3" max="3" width="8.25" style="2" customWidth="1"/>
    <col min="4" max="4" width="7.875" style="2" customWidth="1"/>
    <col min="5" max="5" width="8.25" style="2" customWidth="1"/>
    <col min="6" max="6" width="7.375" style="2" customWidth="1"/>
    <col min="7" max="7" width="8"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Orgs!B22</f>
        <v>Salmonellae + Nitrite</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EXP(-3.1)</f>
        <v>4.5049202393557801E-2</v>
      </c>
      <c r="D3" s="30">
        <v>20</v>
      </c>
      <c r="E3" s="30">
        <v>7</v>
      </c>
      <c r="F3" s="32" t="s">
        <v>201</v>
      </c>
      <c r="G3" s="30">
        <v>0.5</v>
      </c>
      <c r="H3" s="30"/>
      <c r="I3" s="30">
        <v>0</v>
      </c>
      <c r="J3" s="30"/>
      <c r="K3" s="30"/>
      <c r="L3" s="30"/>
      <c r="M3" s="30"/>
      <c r="N3" s="30"/>
      <c r="O3" s="33"/>
    </row>
    <row r="4" spans="1:15">
      <c r="A4" s="29" t="s">
        <v>202</v>
      </c>
      <c r="B4" s="30"/>
      <c r="C4" s="34"/>
      <c r="D4" s="30">
        <v>7</v>
      </c>
      <c r="E4" s="30">
        <v>3.9</v>
      </c>
      <c r="F4" s="30"/>
      <c r="G4" s="30">
        <v>0</v>
      </c>
      <c r="H4" s="30"/>
      <c r="I4" s="30">
        <v>0</v>
      </c>
      <c r="J4" s="30"/>
      <c r="K4" s="30"/>
      <c r="L4" s="30"/>
      <c r="M4" s="30"/>
      <c r="N4" s="30"/>
      <c r="O4" s="33"/>
    </row>
    <row r="5" spans="1:15" ht="13.5" thickBot="1">
      <c r="A5" s="35" t="s">
        <v>203</v>
      </c>
      <c r="B5" s="36"/>
      <c r="C5" s="37"/>
      <c r="D5" s="36">
        <v>30</v>
      </c>
      <c r="E5" s="36">
        <v>7.4</v>
      </c>
      <c r="F5" s="36"/>
      <c r="G5" s="36">
        <v>4.5999999999999996</v>
      </c>
      <c r="H5" s="36"/>
      <c r="I5" s="36">
        <v>200</v>
      </c>
      <c r="J5" s="36"/>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211</v>
      </c>
      <c r="I8" s="36" t="s">
        <v>246</v>
      </c>
      <c r="J8" s="36" t="s">
        <v>211</v>
      </c>
      <c r="K8" s="36" t="s">
        <v>211</v>
      </c>
      <c r="L8" s="36" t="s">
        <v>211</v>
      </c>
      <c r="M8" s="36" t="s">
        <v>211</v>
      </c>
      <c r="N8" s="36" t="s">
        <v>211</v>
      </c>
      <c r="O8" s="38" t="s">
        <v>211</v>
      </c>
    </row>
    <row r="9" spans="1:15" ht="13.5" thickBot="1">
      <c r="A9" s="2" t="s">
        <v>212</v>
      </c>
      <c r="D9" s="2">
        <v>3</v>
      </c>
      <c r="E9" s="2">
        <v>1</v>
      </c>
      <c r="F9" s="2">
        <v>0.02</v>
      </c>
      <c r="I9" s="2">
        <v>40</v>
      </c>
    </row>
    <row r="10" spans="1:15" ht="14.25">
      <c r="A10" s="39"/>
      <c r="B10" s="53" t="s">
        <v>213</v>
      </c>
      <c r="C10" s="27"/>
      <c r="D10" s="27"/>
      <c r="E10" s="43"/>
      <c r="F10" s="43"/>
      <c r="G10" s="44"/>
      <c r="H10" s="56" t="s">
        <v>214</v>
      </c>
      <c r="I10" s="45"/>
    </row>
    <row r="11" spans="1:15">
      <c r="A11" s="29" t="s">
        <v>215</v>
      </c>
      <c r="B11" s="32">
        <v>0.25</v>
      </c>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amp;B24&amp;"*("&amp;C24&amp;")+"&amp;B25&amp;"*("&amp;C25&amp;")+"&amp;B26&amp;"*("&amp;C26&amp;")+"&amp;B27&amp;"*("&amp;C27&amp;")+"&amp;B28&amp;"*("&amp;C28&amp;"))"</f>
        <v xml:space="preserve"> =EXP(1*(-13.32)+tr*(0.4436)+pr*(1.993)+bw*(8.097)+tr*pr*(-0.01241)+tr*bw*(0.1402)+pr*bw*(0.4664)+tr^2*(-0.005751)+pr^2*(-0.1347)+bw^2*(-88.92)+nr*(-0.0538)+tr*nr*(-0.0003428)+pr*nr*(0.007268)+bw*nr*(0.02822)+nr^2*(0.00001853))</v>
      </c>
      <c r="C12" s="49"/>
      <c r="D12" s="50"/>
      <c r="E12" s="49"/>
      <c r="F12" s="50"/>
      <c r="G12" s="51"/>
      <c r="H12" s="36">
        <f>19.6/2.3</f>
        <v>8.5217391304347831</v>
      </c>
      <c r="I12" s="38"/>
    </row>
    <row r="13" spans="1:15">
      <c r="D13" s="87"/>
      <c r="E13" s="87"/>
    </row>
    <row r="14" spans="1:15">
      <c r="A14" s="1">
        <v>1</v>
      </c>
      <c r="B14" s="24">
        <v>1</v>
      </c>
      <c r="C14" s="22">
        <v>-13.32</v>
      </c>
      <c r="D14"/>
    </row>
    <row r="15" spans="1:15">
      <c r="A15" s="1">
        <v>20</v>
      </c>
      <c r="B15" s="24" t="s">
        <v>45</v>
      </c>
      <c r="C15" s="22">
        <v>0.44359999999999999</v>
      </c>
      <c r="D15"/>
    </row>
    <row r="16" spans="1:15">
      <c r="A16" s="1">
        <v>7</v>
      </c>
      <c r="B16" s="24" t="s">
        <v>46</v>
      </c>
      <c r="C16" s="22">
        <v>1.9930000000000001</v>
      </c>
      <c r="D16"/>
    </row>
    <row r="17" spans="1:9">
      <c r="A17" s="1">
        <v>0.5</v>
      </c>
      <c r="B17" s="24" t="s">
        <v>47</v>
      </c>
      <c r="C17" s="22">
        <v>8.0969999999999995</v>
      </c>
      <c r="D17"/>
    </row>
    <row r="18" spans="1:9">
      <c r="A18" s="1">
        <f>A$15*A$16</f>
        <v>140</v>
      </c>
      <c r="B18" s="24" t="s">
        <v>222</v>
      </c>
      <c r="C18" s="22">
        <v>-1.2409999999999999E-2</v>
      </c>
      <c r="D18"/>
    </row>
    <row r="19" spans="1:9">
      <c r="A19" s="1">
        <f>A$15*A$17</f>
        <v>10</v>
      </c>
      <c r="B19" s="24" t="s">
        <v>225</v>
      </c>
      <c r="C19" s="22">
        <v>0.14019999999999999</v>
      </c>
      <c r="D19"/>
    </row>
    <row r="20" spans="1:9">
      <c r="A20" s="1">
        <f>A$16*A$17</f>
        <v>3.5</v>
      </c>
      <c r="B20" s="24" t="s">
        <v>227</v>
      </c>
      <c r="C20" s="22">
        <v>0.46639999999999998</v>
      </c>
      <c r="D20"/>
    </row>
    <row r="21" spans="1:9">
      <c r="A21" s="1">
        <f>A$15^2</f>
        <v>400</v>
      </c>
      <c r="B21" s="24" t="s">
        <v>229</v>
      </c>
      <c r="C21" s="22">
        <v>-5.751E-3</v>
      </c>
      <c r="D21"/>
    </row>
    <row r="22" spans="1:9">
      <c r="A22" s="1">
        <f>A$16^2</f>
        <v>49</v>
      </c>
      <c r="B22" s="24" t="s">
        <v>231</v>
      </c>
      <c r="C22" s="22">
        <v>-0.13469999999999999</v>
      </c>
      <c r="D22"/>
    </row>
    <row r="23" spans="1:9">
      <c r="A23" s="1">
        <f>A$17^2</f>
        <v>0.25</v>
      </c>
      <c r="B23" s="24" t="s">
        <v>233</v>
      </c>
      <c r="C23" s="22">
        <v>-88.92</v>
      </c>
      <c r="D23"/>
    </row>
    <row r="24" spans="1:9">
      <c r="A24" s="1">
        <v>20</v>
      </c>
      <c r="B24" s="24" t="s">
        <v>50</v>
      </c>
      <c r="C24" s="22">
        <v>-5.3800000000000001E-2</v>
      </c>
      <c r="D24"/>
      <c r="H24"/>
    </row>
    <row r="25" spans="1:9">
      <c r="A25" s="1">
        <f>A$15*A$24</f>
        <v>400</v>
      </c>
      <c r="B25" s="24" t="s">
        <v>247</v>
      </c>
      <c r="C25" s="22">
        <v>-3.4279999999999998E-4</v>
      </c>
      <c r="D25"/>
      <c r="H25"/>
    </row>
    <row r="26" spans="1:9">
      <c r="A26" s="1">
        <f>A$16*A$24</f>
        <v>140</v>
      </c>
      <c r="B26" s="24" t="s">
        <v>248</v>
      </c>
      <c r="C26" s="22">
        <v>7.2680000000000002E-3</v>
      </c>
      <c r="D26"/>
      <c r="H26"/>
    </row>
    <row r="27" spans="1:9">
      <c r="A27" s="1">
        <f>A$17*A$24</f>
        <v>10</v>
      </c>
      <c r="B27" s="24" t="s">
        <v>249</v>
      </c>
      <c r="C27" s="22">
        <v>2.8219999999999999E-2</v>
      </c>
      <c r="D27"/>
      <c r="H27"/>
    </row>
    <row r="28" spans="1:9">
      <c r="A28" s="1">
        <f>A$24^2</f>
        <v>400</v>
      </c>
      <c r="B28" s="24" t="s">
        <v>250</v>
      </c>
      <c r="C28" s="22">
        <v>1.853E-5</v>
      </c>
      <c r="D28"/>
      <c r="H28"/>
    </row>
    <row r="29" spans="1:9">
      <c r="C29" s="85"/>
      <c r="D29" s="85"/>
      <c r="E29" s="85"/>
    </row>
    <row r="30" spans="1:9">
      <c r="D30" s="124" t="s">
        <v>234</v>
      </c>
    </row>
    <row r="31" spans="1:9">
      <c r="C31" s="86"/>
      <c r="D31">
        <v>30</v>
      </c>
      <c r="E31">
        <v>3.9</v>
      </c>
      <c r="F31">
        <v>0.99199999999999999</v>
      </c>
      <c r="I31">
        <v>0</v>
      </c>
    </row>
    <row r="32" spans="1:9">
      <c r="D32">
        <v>20</v>
      </c>
      <c r="E32">
        <v>4.7</v>
      </c>
      <c r="F32">
        <v>0.97399999999999998</v>
      </c>
      <c r="I32">
        <v>0</v>
      </c>
    </row>
    <row r="33" spans="4:9">
      <c r="D33">
        <v>15</v>
      </c>
      <c r="E33">
        <v>6</v>
      </c>
      <c r="F33">
        <v>0.97299999999999998</v>
      </c>
      <c r="I33">
        <v>0</v>
      </c>
    </row>
    <row r="34" spans="4:9">
      <c r="D34">
        <v>30</v>
      </c>
      <c r="E34">
        <v>6.9</v>
      </c>
      <c r="F34">
        <v>0.97399999999999998</v>
      </c>
      <c r="I34">
        <v>0</v>
      </c>
    </row>
    <row r="35" spans="4:9">
      <c r="D35">
        <v>30</v>
      </c>
      <c r="E35">
        <v>3.9</v>
      </c>
      <c r="F35">
        <v>0.999</v>
      </c>
      <c r="I35">
        <v>0</v>
      </c>
    </row>
    <row r="36" spans="4:9">
      <c r="D36">
        <v>30</v>
      </c>
      <c r="E36">
        <v>4.5999999999999996</v>
      </c>
      <c r="F36">
        <v>0.97399999999999998</v>
      </c>
      <c r="I36">
        <v>0</v>
      </c>
    </row>
    <row r="37" spans="4:9">
      <c r="D37">
        <v>20</v>
      </c>
      <c r="E37">
        <v>4</v>
      </c>
      <c r="F37">
        <v>0.999</v>
      </c>
      <c r="I37">
        <v>0</v>
      </c>
    </row>
    <row r="38" spans="4:9">
      <c r="D38">
        <v>10</v>
      </c>
      <c r="E38">
        <v>7.2</v>
      </c>
      <c r="F38">
        <v>0.97399999999999998</v>
      </c>
      <c r="I38">
        <v>0</v>
      </c>
    </row>
    <row r="39" spans="4:9">
      <c r="D39">
        <v>15</v>
      </c>
      <c r="E39">
        <v>7.3</v>
      </c>
      <c r="F39">
        <v>0.97399999999999998</v>
      </c>
      <c r="I39">
        <v>0</v>
      </c>
    </row>
    <row r="40" spans="4:9">
      <c r="D40">
        <v>10</v>
      </c>
      <c r="E40">
        <v>6</v>
      </c>
      <c r="F40">
        <v>0.97299999999999998</v>
      </c>
      <c r="I40">
        <v>0</v>
      </c>
    </row>
    <row r="41" spans="4:9">
      <c r="D41">
        <v>7</v>
      </c>
      <c r="E41">
        <v>5.7</v>
      </c>
      <c r="F41">
        <v>0.98599999999999999</v>
      </c>
      <c r="I41">
        <v>0</v>
      </c>
    </row>
    <row r="42" spans="4:9">
      <c r="D42">
        <v>7</v>
      </c>
      <c r="E42">
        <v>6</v>
      </c>
      <c r="F42">
        <v>0.999</v>
      </c>
      <c r="I42">
        <v>0</v>
      </c>
    </row>
    <row r="43" spans="4:9">
      <c r="D43">
        <v>7</v>
      </c>
      <c r="E43">
        <v>6.9</v>
      </c>
      <c r="F43">
        <v>0.99199999999999999</v>
      </c>
      <c r="I43">
        <v>0</v>
      </c>
    </row>
    <row r="44" spans="4:9">
      <c r="D44">
        <v>25</v>
      </c>
      <c r="E44">
        <v>7.3</v>
      </c>
      <c r="F44">
        <v>0.999</v>
      </c>
      <c r="I44">
        <v>0</v>
      </c>
    </row>
    <row r="45" spans="4:9">
      <c r="D45">
        <v>20</v>
      </c>
      <c r="E45">
        <v>7.3</v>
      </c>
      <c r="F45">
        <v>0.97399999999999998</v>
      </c>
      <c r="I45">
        <v>0</v>
      </c>
    </row>
    <row r="46" spans="4:9">
      <c r="D46">
        <v>10</v>
      </c>
      <c r="E46">
        <v>7.3</v>
      </c>
      <c r="F46">
        <v>0.999</v>
      </c>
      <c r="I46">
        <v>0</v>
      </c>
    </row>
    <row r="47" spans="4:9">
      <c r="D47">
        <v>8</v>
      </c>
      <c r="E47">
        <v>5.0999999999999996</v>
      </c>
      <c r="F47">
        <v>0.999</v>
      </c>
      <c r="I47">
        <v>0</v>
      </c>
    </row>
    <row r="48" spans="4:9">
      <c r="D48">
        <v>12</v>
      </c>
      <c r="E48">
        <v>4.4000000000000004</v>
      </c>
      <c r="F48">
        <v>0.999</v>
      </c>
      <c r="I48">
        <v>0</v>
      </c>
    </row>
    <row r="49" spans="4:9">
      <c r="D49">
        <v>12</v>
      </c>
      <c r="E49">
        <v>4.5</v>
      </c>
      <c r="F49">
        <v>0.98899999999999999</v>
      </c>
      <c r="I49">
        <v>0</v>
      </c>
    </row>
    <row r="50" spans="4:9">
      <c r="D50">
        <v>10</v>
      </c>
      <c r="E50">
        <v>4.9000000000000004</v>
      </c>
      <c r="F50">
        <v>0.98899999999999999</v>
      </c>
      <c r="I50">
        <v>0</v>
      </c>
    </row>
    <row r="51" spans="4:9">
      <c r="D51">
        <v>8</v>
      </c>
      <c r="E51">
        <v>6.9</v>
      </c>
      <c r="F51">
        <v>0.999</v>
      </c>
      <c r="I51">
        <v>0</v>
      </c>
    </row>
    <row r="52" spans="4:9">
      <c r="D52">
        <v>10</v>
      </c>
      <c r="E52">
        <v>6.9</v>
      </c>
      <c r="F52">
        <v>0.999</v>
      </c>
      <c r="I52">
        <v>150</v>
      </c>
    </row>
    <row r="53" spans="4:9">
      <c r="D53">
        <v>10</v>
      </c>
      <c r="E53">
        <v>6.9</v>
      </c>
      <c r="F53">
        <v>0.98599999999999999</v>
      </c>
      <c r="I53">
        <v>200</v>
      </c>
    </row>
    <row r="54" spans="4:9">
      <c r="D54">
        <v>10</v>
      </c>
      <c r="E54">
        <v>6.9</v>
      </c>
      <c r="F54">
        <v>0.97399999999999998</v>
      </c>
      <c r="I54">
        <v>50</v>
      </c>
    </row>
    <row r="55" spans="4:9">
      <c r="D55">
        <v>10</v>
      </c>
      <c r="E55">
        <v>7</v>
      </c>
      <c r="F55">
        <v>0.999</v>
      </c>
      <c r="I55">
        <v>150</v>
      </c>
    </row>
    <row r="56" spans="4:9">
      <c r="D56">
        <v>30</v>
      </c>
      <c r="E56">
        <v>5.5</v>
      </c>
      <c r="F56">
        <v>0.97399999999999998</v>
      </c>
      <c r="I56">
        <v>20</v>
      </c>
    </row>
    <row r="57" spans="4:9">
      <c r="D57">
        <v>30</v>
      </c>
      <c r="E57">
        <v>6.7</v>
      </c>
      <c r="F57">
        <v>0.97399999999999998</v>
      </c>
      <c r="I57">
        <v>20</v>
      </c>
    </row>
    <row r="58" spans="4:9">
      <c r="D58">
        <v>30</v>
      </c>
      <c r="E58">
        <v>5.6</v>
      </c>
      <c r="F58">
        <v>0.999</v>
      </c>
      <c r="I58">
        <v>20</v>
      </c>
    </row>
    <row r="59" spans="4:9">
      <c r="D59">
        <v>30</v>
      </c>
      <c r="E59">
        <v>6.9</v>
      </c>
      <c r="F59">
        <v>0.97399999999999998</v>
      </c>
      <c r="I59">
        <v>10</v>
      </c>
    </row>
    <row r="60" spans="4:9">
      <c r="D60">
        <v>30</v>
      </c>
      <c r="E60">
        <v>6.9</v>
      </c>
      <c r="F60">
        <v>0.999</v>
      </c>
      <c r="I60">
        <v>20</v>
      </c>
    </row>
    <row r="61" spans="4:9">
      <c r="D61">
        <v>7</v>
      </c>
      <c r="E61">
        <v>6.9</v>
      </c>
      <c r="F61">
        <v>0.98599999999999999</v>
      </c>
      <c r="I61">
        <v>0</v>
      </c>
    </row>
    <row r="62" spans="4:9">
      <c r="D62">
        <v>30</v>
      </c>
      <c r="E62">
        <v>7</v>
      </c>
      <c r="F62">
        <v>0.98</v>
      </c>
      <c r="I62">
        <v>0</v>
      </c>
    </row>
    <row r="63" spans="4:9">
      <c r="D63">
        <v>30</v>
      </c>
      <c r="E63">
        <v>7.2</v>
      </c>
      <c r="F63">
        <v>0.999</v>
      </c>
      <c r="I63">
        <v>0</v>
      </c>
    </row>
    <row r="64" spans="4:9">
      <c r="D64">
        <v>30</v>
      </c>
      <c r="E64">
        <v>6.3</v>
      </c>
      <c r="F64">
        <v>0.98899999999999999</v>
      </c>
      <c r="I64">
        <v>60</v>
      </c>
    </row>
    <row r="65" spans="4:9">
      <c r="D65">
        <v>27</v>
      </c>
      <c r="E65">
        <v>6</v>
      </c>
      <c r="F65">
        <v>0.98699999999999999</v>
      </c>
      <c r="I65">
        <v>150</v>
      </c>
    </row>
    <row r="66" spans="4:9">
      <c r="D66">
        <v>26</v>
      </c>
      <c r="E66">
        <v>7</v>
      </c>
      <c r="F66">
        <v>0.999</v>
      </c>
      <c r="I66">
        <v>0</v>
      </c>
    </row>
    <row r="68" spans="4:9">
      <c r="D68" s="2" t="s">
        <v>235</v>
      </c>
    </row>
    <row r="69" spans="4:9">
      <c r="D69">
        <v>37</v>
      </c>
      <c r="E69">
        <v>3.9</v>
      </c>
      <c r="F69">
        <v>0.99199999999999999</v>
      </c>
      <c r="I69">
        <v>0</v>
      </c>
    </row>
    <row r="70" spans="4:9">
      <c r="D70">
        <v>37</v>
      </c>
      <c r="E70">
        <v>3.9</v>
      </c>
      <c r="F70">
        <v>0.999</v>
      </c>
      <c r="I70">
        <v>0</v>
      </c>
    </row>
    <row r="71" spans="4:9">
      <c r="D71">
        <v>37</v>
      </c>
      <c r="E71">
        <v>4.5999999999999996</v>
      </c>
      <c r="F71">
        <v>0.97399999999999998</v>
      </c>
      <c r="I71">
        <v>0</v>
      </c>
    </row>
    <row r="72" spans="4:9">
      <c r="D72">
        <v>7</v>
      </c>
      <c r="E72">
        <v>5.7</v>
      </c>
      <c r="F72">
        <v>0.999</v>
      </c>
      <c r="I72">
        <v>0</v>
      </c>
    </row>
    <row r="73" spans="4:9">
      <c r="D73">
        <v>37</v>
      </c>
      <c r="E73">
        <v>7.3</v>
      </c>
      <c r="F73">
        <v>0.97399999999999998</v>
      </c>
      <c r="I73">
        <v>0</v>
      </c>
    </row>
    <row r="74" spans="4:9">
      <c r="D74">
        <v>37</v>
      </c>
      <c r="E74">
        <v>6.9</v>
      </c>
      <c r="F74">
        <v>0.98599999999999999</v>
      </c>
      <c r="I74">
        <v>200</v>
      </c>
    </row>
    <row r="75" spans="4:9">
      <c r="D75">
        <v>10</v>
      </c>
      <c r="E75">
        <v>7</v>
      </c>
      <c r="F75">
        <v>0.98599999999999999</v>
      </c>
      <c r="I75">
        <v>200</v>
      </c>
    </row>
    <row r="76" spans="4:9">
      <c r="D76">
        <v>10</v>
      </c>
      <c r="E76">
        <v>6.9</v>
      </c>
      <c r="F76">
        <v>0.999</v>
      </c>
      <c r="I76">
        <v>200</v>
      </c>
    </row>
    <row r="77" spans="4:9">
      <c r="D77">
        <v>37</v>
      </c>
      <c r="E77">
        <v>7</v>
      </c>
      <c r="F77">
        <v>0.98599999999999999</v>
      </c>
      <c r="I77">
        <v>200</v>
      </c>
    </row>
    <row r="78" spans="4:9">
      <c r="D78">
        <v>37</v>
      </c>
      <c r="E78">
        <v>6.9</v>
      </c>
      <c r="F78">
        <v>0.999</v>
      </c>
      <c r="I78">
        <v>200</v>
      </c>
    </row>
    <row r="79" spans="4:9">
      <c r="D79">
        <v>10</v>
      </c>
      <c r="E79">
        <v>7</v>
      </c>
      <c r="F79">
        <v>0.999</v>
      </c>
      <c r="I79">
        <v>200</v>
      </c>
    </row>
    <row r="80" spans="4:9">
      <c r="D80">
        <v>37</v>
      </c>
      <c r="E80">
        <v>7</v>
      </c>
      <c r="F80">
        <v>0.97399999999999998</v>
      </c>
      <c r="I80">
        <v>50</v>
      </c>
    </row>
    <row r="81" spans="4:9">
      <c r="D81">
        <v>7</v>
      </c>
      <c r="E81">
        <v>7</v>
      </c>
      <c r="F81">
        <v>0.98599999999999999</v>
      </c>
      <c r="I81">
        <v>0</v>
      </c>
    </row>
    <row r="82" spans="4:9">
      <c r="D82">
        <v>37</v>
      </c>
      <c r="E82">
        <v>6</v>
      </c>
      <c r="F82">
        <v>0.98699999999999999</v>
      </c>
      <c r="I82">
        <v>150</v>
      </c>
    </row>
    <row r="83" spans="4:9">
      <c r="D83">
        <v>37</v>
      </c>
      <c r="E83">
        <v>6</v>
      </c>
      <c r="F83">
        <v>0.999</v>
      </c>
      <c r="I83">
        <v>150</v>
      </c>
    </row>
    <row r="84" spans="4:9">
      <c r="D84">
        <v>10</v>
      </c>
      <c r="E84">
        <v>6</v>
      </c>
      <c r="F84">
        <v>0.97299999999999998</v>
      </c>
      <c r="I84">
        <v>0</v>
      </c>
    </row>
    <row r="85" spans="4:9">
      <c r="D85">
        <v>7.5</v>
      </c>
      <c r="E85">
        <v>6.9</v>
      </c>
      <c r="F85">
        <v>0.98599999999999999</v>
      </c>
      <c r="I85">
        <v>100</v>
      </c>
    </row>
    <row r="86" spans="4:9">
      <c r="D86">
        <v>7.5</v>
      </c>
      <c r="E86">
        <v>7</v>
      </c>
      <c r="F86">
        <v>0.999</v>
      </c>
      <c r="I86">
        <v>150</v>
      </c>
    </row>
    <row r="87" spans="4:9">
      <c r="D87">
        <v>10</v>
      </c>
      <c r="E87">
        <v>6.9</v>
      </c>
      <c r="F87">
        <v>0.98599999999999999</v>
      </c>
      <c r="I87">
        <v>200</v>
      </c>
    </row>
    <row r="88" spans="4:9">
      <c r="D88">
        <v>20</v>
      </c>
      <c r="E88">
        <v>4</v>
      </c>
      <c r="F88">
        <v>0.999</v>
      </c>
      <c r="I88">
        <v>50</v>
      </c>
    </row>
    <row r="89" spans="4:9">
      <c r="D89">
        <v>27</v>
      </c>
      <c r="E89">
        <v>6</v>
      </c>
      <c r="F89">
        <v>0.98699999999999999</v>
      </c>
      <c r="I89">
        <v>156</v>
      </c>
    </row>
    <row r="90" spans="4:9">
      <c r="D90">
        <v>7</v>
      </c>
      <c r="E90">
        <v>5.7</v>
      </c>
      <c r="F90">
        <v>0.98599999999999999</v>
      </c>
      <c r="I90">
        <v>0</v>
      </c>
    </row>
    <row r="91" spans="4:9">
      <c r="D91">
        <v>10</v>
      </c>
      <c r="E91">
        <v>4.5999999999999996</v>
      </c>
      <c r="F91">
        <v>0.98699999999999999</v>
      </c>
      <c r="I91">
        <v>0</v>
      </c>
    </row>
    <row r="92" spans="4:9">
      <c r="D92">
        <v>10</v>
      </c>
      <c r="E92">
        <v>6.9</v>
      </c>
      <c r="F92">
        <v>0.96699999999999997</v>
      </c>
      <c r="I92">
        <v>0</v>
      </c>
    </row>
    <row r="93" spans="4:9">
      <c r="D93">
        <v>10</v>
      </c>
      <c r="E93">
        <v>9</v>
      </c>
      <c r="F93">
        <v>0.999</v>
      </c>
      <c r="I93">
        <v>0</v>
      </c>
    </row>
    <row r="94" spans="4:9">
      <c r="D94">
        <v>12</v>
      </c>
      <c r="E94">
        <v>5</v>
      </c>
      <c r="F94">
        <v>0.97699999999999998</v>
      </c>
      <c r="I94">
        <v>0</v>
      </c>
    </row>
    <row r="95" spans="4:9">
      <c r="D95">
        <v>20</v>
      </c>
      <c r="E95">
        <v>4.7</v>
      </c>
      <c r="F95">
        <v>0.97399999999999998</v>
      </c>
      <c r="I95">
        <v>0</v>
      </c>
    </row>
    <row r="96" spans="4:9">
      <c r="D96">
        <v>20</v>
      </c>
      <c r="E96">
        <v>9</v>
      </c>
      <c r="F96">
        <v>0.999</v>
      </c>
      <c r="I96">
        <v>0</v>
      </c>
    </row>
    <row r="97" spans="4:9">
      <c r="D97">
        <v>30</v>
      </c>
      <c r="E97">
        <v>6.4</v>
      </c>
      <c r="F97">
        <v>0.96</v>
      </c>
      <c r="I97">
        <v>0</v>
      </c>
    </row>
    <row r="98" spans="4:9">
      <c r="D98">
        <v>30</v>
      </c>
      <c r="E98">
        <v>7</v>
      </c>
      <c r="F98">
        <v>0.96</v>
      </c>
      <c r="I98">
        <v>0</v>
      </c>
    </row>
    <row r="99" spans="4:9">
      <c r="D99">
        <v>45</v>
      </c>
      <c r="E99">
        <v>6.6</v>
      </c>
      <c r="F99">
        <v>0.999</v>
      </c>
      <c r="I99">
        <v>0</v>
      </c>
    </row>
    <row r="100" spans="4:9">
      <c r="D100">
        <v>30</v>
      </c>
      <c r="E100">
        <v>3.9</v>
      </c>
      <c r="F100">
        <v>0.99199999999999999</v>
      </c>
      <c r="I100">
        <v>0</v>
      </c>
    </row>
    <row r="101" spans="4:9">
      <c r="D101">
        <v>8</v>
      </c>
      <c r="E101">
        <v>5.0999999999999996</v>
      </c>
      <c r="F101">
        <v>0.999</v>
      </c>
      <c r="I101">
        <v>0</v>
      </c>
    </row>
    <row r="102" spans="4:9">
      <c r="D102">
        <v>12</v>
      </c>
      <c r="E102">
        <v>4.4000000000000004</v>
      </c>
      <c r="F102">
        <v>0.999</v>
      </c>
      <c r="I102">
        <v>0</v>
      </c>
    </row>
    <row r="103" spans="4:9">
      <c r="D103">
        <v>20</v>
      </c>
      <c r="E103">
        <v>4</v>
      </c>
      <c r="F103">
        <v>0.999</v>
      </c>
      <c r="I103">
        <v>0</v>
      </c>
    </row>
    <row r="104" spans="4:9">
      <c r="D104">
        <v>30</v>
      </c>
      <c r="E104">
        <v>3.9</v>
      </c>
      <c r="F104">
        <v>0.999</v>
      </c>
      <c r="I104">
        <v>0</v>
      </c>
    </row>
    <row r="105" spans="4:9">
      <c r="D105">
        <v>15</v>
      </c>
      <c r="E105">
        <v>4.0999999999999996</v>
      </c>
      <c r="F105">
        <v>0.99199999999999999</v>
      </c>
      <c r="I105">
        <v>0</v>
      </c>
    </row>
    <row r="106" spans="4:9">
      <c r="D106">
        <v>6.7</v>
      </c>
      <c r="E106">
        <v>7.2</v>
      </c>
      <c r="F106">
        <v>0.999</v>
      </c>
      <c r="I106">
        <v>0</v>
      </c>
    </row>
    <row r="108" spans="4:9">
      <c r="D108" s="2" t="s">
        <v>236</v>
      </c>
    </row>
    <row r="109" spans="4:9">
      <c r="D109" s="2">
        <v>0</v>
      </c>
      <c r="E109" s="2">
        <v>11</v>
      </c>
      <c r="F109" s="2">
        <v>1</v>
      </c>
      <c r="I109" s="2">
        <v>0</v>
      </c>
    </row>
    <row r="110" spans="4:9">
      <c r="D110" s="2">
        <v>0</v>
      </c>
      <c r="E110" s="2">
        <v>11</v>
      </c>
      <c r="F110" s="2">
        <v>0.9</v>
      </c>
      <c r="I110" s="2">
        <v>0</v>
      </c>
    </row>
    <row r="111" spans="4:9">
      <c r="D111" s="2">
        <v>55</v>
      </c>
      <c r="E111" s="2">
        <v>3.5</v>
      </c>
      <c r="F111" s="2">
        <v>1</v>
      </c>
      <c r="I111" s="2">
        <v>0</v>
      </c>
    </row>
    <row r="112" spans="4:9">
      <c r="D112" s="2">
        <v>55</v>
      </c>
      <c r="E112" s="2">
        <v>3.5</v>
      </c>
      <c r="F112" s="2">
        <v>0.9</v>
      </c>
      <c r="I112" s="2">
        <v>0</v>
      </c>
    </row>
    <row r="113" spans="4:9">
      <c r="D113" s="2">
        <v>55</v>
      </c>
      <c r="E113" s="2">
        <v>11</v>
      </c>
      <c r="F113" s="2">
        <v>1</v>
      </c>
      <c r="I113" s="2">
        <v>0</v>
      </c>
    </row>
    <row r="114" spans="4:9">
      <c r="D114" s="2">
        <v>55</v>
      </c>
      <c r="E114" s="2">
        <v>11</v>
      </c>
      <c r="F114" s="2">
        <v>0.9</v>
      </c>
      <c r="I114" s="2">
        <v>20000</v>
      </c>
    </row>
    <row r="115" spans="4:9">
      <c r="D115" s="2">
        <v>5</v>
      </c>
      <c r="E115" s="2">
        <v>7</v>
      </c>
      <c r="F115" s="2">
        <v>1</v>
      </c>
      <c r="I115" s="2">
        <v>0</v>
      </c>
    </row>
    <row r="116" spans="4:9">
      <c r="D116" s="2">
        <v>8</v>
      </c>
      <c r="E116" s="2">
        <v>4.9000000000000004</v>
      </c>
      <c r="F116" s="2">
        <v>0.98899999999999999</v>
      </c>
      <c r="I116" s="2">
        <v>0</v>
      </c>
    </row>
    <row r="117" spans="4:9">
      <c r="D117" s="2">
        <v>10</v>
      </c>
      <c r="E117" s="2">
        <v>3.8</v>
      </c>
      <c r="F117" s="2">
        <v>1</v>
      </c>
      <c r="I117" s="2">
        <v>0</v>
      </c>
    </row>
  </sheetData>
  <phoneticPr fontId="0" type="noConversion"/>
  <printOptions gridLines="1" gridLinesSet="0"/>
  <pageMargins left="0.75" right="0.75" top="1" bottom="1" header="0.5" footer="0.5"/>
  <pageSetup paperSize="9" orientation="portrait" horizontalDpi="4294967292" r:id="rId1"/>
  <headerFooter alignWithMargins="0">
    <oddHeader>&amp;A</oddHeader>
    <oddFooter>Page &amp;P</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O122"/>
  <sheetViews>
    <sheetView workbookViewId="0">
      <selection activeCell="E28" sqref="E28"/>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Orgs!B23</f>
        <v>Yersinia enterocolitica</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EXP(-2.9)</f>
        <v>5.5023220056407231E-2</v>
      </c>
      <c r="D3" s="30">
        <v>20</v>
      </c>
      <c r="E3" s="30">
        <v>7</v>
      </c>
      <c r="F3" s="32" t="s">
        <v>201</v>
      </c>
      <c r="G3" s="30">
        <v>0.5</v>
      </c>
      <c r="H3" s="30"/>
      <c r="I3" s="30"/>
      <c r="J3" s="30"/>
      <c r="K3" s="30"/>
      <c r="L3" s="30"/>
      <c r="M3" s="30"/>
      <c r="N3" s="30"/>
      <c r="O3" s="33"/>
    </row>
    <row r="4" spans="1:15">
      <c r="A4" s="29" t="s">
        <v>202</v>
      </c>
      <c r="B4" s="30"/>
      <c r="C4" s="34"/>
      <c r="D4" s="30">
        <v>0</v>
      </c>
      <c r="E4" s="30">
        <v>4.4000000000000004</v>
      </c>
      <c r="F4" s="30"/>
      <c r="G4" s="30">
        <v>0</v>
      </c>
      <c r="H4" s="30"/>
      <c r="I4" s="30"/>
      <c r="J4" s="30"/>
      <c r="K4" s="30"/>
      <c r="L4" s="30"/>
      <c r="M4" s="30"/>
      <c r="N4" s="30"/>
      <c r="O4" s="33"/>
    </row>
    <row r="5" spans="1:15" ht="13.5" thickBot="1">
      <c r="A5" s="35" t="s">
        <v>203</v>
      </c>
      <c r="B5" s="36"/>
      <c r="C5" s="37"/>
      <c r="D5" s="36">
        <v>30</v>
      </c>
      <c r="E5" s="36">
        <v>7.1</v>
      </c>
      <c r="F5" s="36"/>
      <c r="G5" s="36">
        <v>7</v>
      </c>
      <c r="H5" s="36"/>
      <c r="I5" s="36"/>
      <c r="J5" s="36"/>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c r="A9" s="2" t="s">
        <v>212</v>
      </c>
      <c r="D9" s="2">
        <v>4</v>
      </c>
      <c r="E9" s="2">
        <v>1</v>
      </c>
      <c r="F9" s="2">
        <v>1.4999999999999999E-2</v>
      </c>
    </row>
    <row r="10" spans="1:15" ht="14.25">
      <c r="A10" s="39"/>
      <c r="B10" s="53" t="s">
        <v>213</v>
      </c>
      <c r="C10" s="27"/>
      <c r="D10" s="27"/>
      <c r="E10" s="43"/>
      <c r="F10" s="43"/>
      <c r="G10" s="44"/>
      <c r="H10" s="56" t="s">
        <v>214</v>
      </c>
      <c r="I10" s="45"/>
    </row>
    <row r="11" spans="1:15">
      <c r="A11" s="29" t="s">
        <v>215</v>
      </c>
      <c r="B11" s="32">
        <v>0.33</v>
      </c>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f>
        <v xml:space="preserve"> =EXP(1*(-12.92)+tr*(0.2053)+pr*(2.714)+bw*(11.64)+tr*pr*(-0.004835)+tr*bw*(0.06621)+pr*bw*(-0.3789)+tr^2*(-0.002438)+pr^2*(-0.1908)+bw^2*(-96.19))</v>
      </c>
      <c r="C12" s="49"/>
      <c r="D12" s="50"/>
      <c r="E12" s="49"/>
      <c r="F12" s="50"/>
      <c r="G12" s="51"/>
      <c r="H12" s="36">
        <f>19.11/2.3</f>
        <v>8.3086956521739133</v>
      </c>
      <c r="I12" s="38"/>
    </row>
    <row r="13" spans="1:15" ht="13.5" thickBot="1"/>
    <row r="14" spans="1:15">
      <c r="A14" s="1">
        <v>1</v>
      </c>
      <c r="B14" s="24">
        <v>1</v>
      </c>
      <c r="C14" s="54">
        <v>-12.92</v>
      </c>
      <c r="E14" s="93"/>
      <c r="F14" s="194"/>
      <c r="G14" s="195"/>
      <c r="H14" s="195"/>
      <c r="I14" s="195"/>
      <c r="J14" s="195"/>
      <c r="K14" s="195"/>
      <c r="L14" s="195"/>
      <c r="M14" s="195"/>
      <c r="N14" s="195"/>
      <c r="O14" s="196"/>
    </row>
    <row r="15" spans="1:15">
      <c r="A15" s="1">
        <v>20</v>
      </c>
      <c r="B15" s="24" t="s">
        <v>45</v>
      </c>
      <c r="C15" s="54">
        <v>0.20530000000000001</v>
      </c>
      <c r="E15" s="93"/>
      <c r="F15" s="197" t="s">
        <v>202</v>
      </c>
      <c r="G15" s="30" t="s">
        <v>203</v>
      </c>
      <c r="H15" s="30"/>
      <c r="I15" s="30"/>
      <c r="J15" s="30"/>
      <c r="K15" s="30"/>
      <c r="L15" s="198" t="s">
        <v>217</v>
      </c>
      <c r="M15" s="30">
        <v>23.388300000000001</v>
      </c>
      <c r="N15" s="30"/>
      <c r="O15" s="33"/>
    </row>
    <row r="16" spans="1:15">
      <c r="A16" s="1">
        <v>7</v>
      </c>
      <c r="B16" s="24" t="s">
        <v>46</v>
      </c>
      <c r="C16" s="54">
        <v>2.714</v>
      </c>
      <c r="E16" s="93"/>
      <c r="F16" s="197">
        <v>-1.5</v>
      </c>
      <c r="G16" s="30">
        <v>25</v>
      </c>
      <c r="H16" s="30"/>
      <c r="I16" s="198" t="s">
        <v>218</v>
      </c>
      <c r="J16" s="30">
        <v>-2</v>
      </c>
      <c r="K16" s="30"/>
      <c r="L16" s="30" t="s">
        <v>219</v>
      </c>
      <c r="M16" s="30">
        <v>3.2219000000000002</v>
      </c>
      <c r="N16" s="30"/>
      <c r="O16" s="33"/>
    </row>
    <row r="17" spans="1:15">
      <c r="A17" s="1">
        <v>0.5</v>
      </c>
      <c r="B17" s="24" t="s">
        <v>47</v>
      </c>
      <c r="C17" s="54">
        <v>11.64</v>
      </c>
      <c r="E17" s="93"/>
      <c r="F17" s="197">
        <v>4.4000000000000004</v>
      </c>
      <c r="G17" s="30">
        <v>7</v>
      </c>
      <c r="H17" s="30"/>
      <c r="I17" s="198" t="s">
        <v>220</v>
      </c>
      <c r="J17" s="30">
        <v>4.2</v>
      </c>
      <c r="K17" s="30"/>
      <c r="L17" s="30" t="s">
        <v>221</v>
      </c>
      <c r="M17" s="30">
        <v>6.9488000000000003</v>
      </c>
      <c r="N17" s="30"/>
      <c r="O17" s="33"/>
    </row>
    <row r="18" spans="1:15">
      <c r="A18" s="1">
        <f>A$15*A$16</f>
        <v>140</v>
      </c>
      <c r="B18" s="24" t="s">
        <v>222</v>
      </c>
      <c r="C18" s="54">
        <v>-4.8349999999999999E-3</v>
      </c>
      <c r="E18" s="93"/>
      <c r="F18" s="197">
        <v>0.94699999999999995</v>
      </c>
      <c r="G18" s="30">
        <v>1</v>
      </c>
      <c r="H18" s="30"/>
      <c r="I18" s="198" t="s">
        <v>223</v>
      </c>
      <c r="J18" s="30">
        <v>0.94499999999999995</v>
      </c>
      <c r="K18" s="30"/>
      <c r="L18" s="30" t="s">
        <v>224</v>
      </c>
      <c r="M18" s="30">
        <v>8.8737999999999992</v>
      </c>
      <c r="N18" s="30"/>
      <c r="O18" s="33"/>
    </row>
    <row r="19" spans="1:15">
      <c r="A19" s="1">
        <f>A$15*A$17</f>
        <v>10</v>
      </c>
      <c r="B19" s="24" t="s">
        <v>225</v>
      </c>
      <c r="C19" s="54">
        <v>6.6210000000000005E-2</v>
      </c>
      <c r="E19" s="93"/>
      <c r="F19" s="197"/>
      <c r="G19" s="30"/>
      <c r="H19" s="30"/>
      <c r="I19" s="30"/>
      <c r="J19" s="30"/>
      <c r="K19" s="30"/>
      <c r="L19" s="30" t="s">
        <v>226</v>
      </c>
      <c r="M19" s="30">
        <v>-5.1181000000000001</v>
      </c>
      <c r="N19" s="30"/>
      <c r="O19" s="33"/>
    </row>
    <row r="20" spans="1:15">
      <c r="A20" s="1">
        <f>A$16*A$17</f>
        <v>3.5</v>
      </c>
      <c r="B20" s="24" t="s">
        <v>227</v>
      </c>
      <c r="C20" s="54">
        <v>-0.37890000000000001</v>
      </c>
      <c r="E20" s="93"/>
      <c r="F20" s="197"/>
      <c r="G20" s="30"/>
      <c r="H20" s="30"/>
      <c r="I20" s="30"/>
      <c r="J20" s="30"/>
      <c r="K20" s="30"/>
      <c r="L20" s="30" t="s">
        <v>228</v>
      </c>
      <c r="M20" s="30">
        <v>0</v>
      </c>
      <c r="N20" s="30"/>
      <c r="O20" s="33"/>
    </row>
    <row r="21" spans="1:15">
      <c r="A21" s="1">
        <f>A$15^2</f>
        <v>400</v>
      </c>
      <c r="B21" s="24" t="s">
        <v>229</v>
      </c>
      <c r="C21" s="54">
        <v>-2.4380000000000001E-3</v>
      </c>
      <c r="E21" s="93"/>
      <c r="F21" s="197"/>
      <c r="G21" s="30"/>
      <c r="H21" s="30"/>
      <c r="I21" s="30"/>
      <c r="J21" s="30"/>
      <c r="K21" s="30"/>
      <c r="L21" s="30" t="s">
        <v>230</v>
      </c>
      <c r="M21" s="30">
        <v>0</v>
      </c>
      <c r="N21" s="30"/>
      <c r="O21" s="33"/>
    </row>
    <row r="22" spans="1:15" ht="13.5" thickBot="1">
      <c r="A22" s="1">
        <f>A$16^2</f>
        <v>49</v>
      </c>
      <c r="B22" s="24" t="s">
        <v>231</v>
      </c>
      <c r="C22" s="54">
        <v>-0.1908</v>
      </c>
      <c r="E22" s="93"/>
      <c r="F22" s="199"/>
      <c r="G22" s="36"/>
      <c r="H22" s="36"/>
      <c r="I22" s="36"/>
      <c r="J22" s="36"/>
      <c r="K22" s="36"/>
      <c r="L22" s="36" t="s">
        <v>232</v>
      </c>
      <c r="M22" s="36">
        <v>-1.2358</v>
      </c>
      <c r="N22" s="36"/>
      <c r="O22" s="38"/>
    </row>
    <row r="23" spans="1:15">
      <c r="A23" s="1">
        <f>A$17^2</f>
        <v>0.25</v>
      </c>
      <c r="B23" s="24" t="s">
        <v>233</v>
      </c>
      <c r="C23" s="54">
        <v>-96.19</v>
      </c>
      <c r="E23" s="93"/>
      <c r="F23" s="93"/>
    </row>
    <row r="24" spans="1:15">
      <c r="A24" s="1"/>
      <c r="B24" s="24"/>
      <c r="C24" s="54"/>
    </row>
    <row r="25" spans="1:15">
      <c r="A25" s="1"/>
      <c r="B25" s="24"/>
      <c r="C25" s="54"/>
    </row>
    <row r="26" spans="1:15">
      <c r="A26" s="1"/>
      <c r="B26" s="24"/>
      <c r="C26" s="54"/>
    </row>
    <row r="27" spans="1:15">
      <c r="A27" s="1"/>
      <c r="B27" s="24"/>
      <c r="C27" s="54"/>
    </row>
    <row r="28" spans="1:15">
      <c r="A28" s="1"/>
      <c r="B28" s="24"/>
      <c r="C28" s="54"/>
    </row>
    <row r="30" spans="1:15">
      <c r="D30" s="124" t="s">
        <v>234</v>
      </c>
    </row>
    <row r="31" spans="1:15">
      <c r="D31">
        <v>0</v>
      </c>
      <c r="E31">
        <v>5.5</v>
      </c>
      <c r="F31">
        <v>0.995</v>
      </c>
    </row>
    <row r="32" spans="1:15">
      <c r="D32">
        <v>7</v>
      </c>
      <c r="E32">
        <v>6.5</v>
      </c>
      <c r="F32">
        <v>0.96399999999999997</v>
      </c>
    </row>
    <row r="33" spans="4:6">
      <c r="D33">
        <v>0</v>
      </c>
      <c r="E33">
        <v>5.5</v>
      </c>
      <c r="F33">
        <v>0.98899999999999999</v>
      </c>
    </row>
    <row r="34" spans="4:6">
      <c r="D34">
        <v>10</v>
      </c>
      <c r="E34">
        <v>7</v>
      </c>
      <c r="F34">
        <v>0.95699999999999996</v>
      </c>
    </row>
    <row r="35" spans="4:6">
      <c r="D35">
        <v>0</v>
      </c>
      <c r="E35">
        <v>6</v>
      </c>
      <c r="F35">
        <v>0.999</v>
      </c>
    </row>
    <row r="36" spans="4:6">
      <c r="D36">
        <v>15</v>
      </c>
      <c r="E36">
        <v>6.5</v>
      </c>
      <c r="F36">
        <v>0.95699999999999996</v>
      </c>
    </row>
    <row r="37" spans="4:6">
      <c r="D37">
        <v>20</v>
      </c>
      <c r="E37">
        <v>7</v>
      </c>
      <c r="F37">
        <v>0.95699999999999996</v>
      </c>
    </row>
    <row r="38" spans="4:6">
      <c r="D38">
        <v>30</v>
      </c>
      <c r="E38">
        <v>5</v>
      </c>
      <c r="F38">
        <v>0.999</v>
      </c>
    </row>
    <row r="39" spans="4:6">
      <c r="D39">
        <v>0</v>
      </c>
      <c r="E39">
        <v>6.5</v>
      </c>
      <c r="F39">
        <v>0.97699999999999998</v>
      </c>
    </row>
    <row r="40" spans="4:6">
      <c r="D40">
        <v>30</v>
      </c>
      <c r="E40">
        <v>7</v>
      </c>
      <c r="F40">
        <v>0.999</v>
      </c>
    </row>
    <row r="41" spans="4:6">
      <c r="D41">
        <v>0</v>
      </c>
      <c r="E41">
        <v>7</v>
      </c>
      <c r="F41">
        <v>0.999</v>
      </c>
    </row>
    <row r="42" spans="4:6">
      <c r="D42">
        <v>0</v>
      </c>
      <c r="E42">
        <v>7</v>
      </c>
      <c r="F42">
        <v>0.97699999999999998</v>
      </c>
    </row>
    <row r="43" spans="4:6">
      <c r="D43">
        <v>10</v>
      </c>
      <c r="E43">
        <v>6</v>
      </c>
      <c r="F43">
        <v>0.96099999999999997</v>
      </c>
    </row>
    <row r="44" spans="4:6">
      <c r="D44">
        <v>30</v>
      </c>
      <c r="E44">
        <v>5.5</v>
      </c>
      <c r="F44">
        <v>0.97399999999999998</v>
      </c>
    </row>
    <row r="45" spans="4:6">
      <c r="D45">
        <v>15</v>
      </c>
      <c r="E45">
        <v>6</v>
      </c>
      <c r="F45">
        <v>0.96099999999999997</v>
      </c>
    </row>
    <row r="46" spans="4:6">
      <c r="D46">
        <v>10</v>
      </c>
      <c r="E46">
        <v>5</v>
      </c>
      <c r="F46">
        <v>0.97399999999999998</v>
      </c>
    </row>
    <row r="47" spans="4:6">
      <c r="D47">
        <v>25</v>
      </c>
      <c r="E47">
        <v>4.5</v>
      </c>
      <c r="F47">
        <v>0.999</v>
      </c>
    </row>
    <row r="48" spans="4:6">
      <c r="D48">
        <v>30</v>
      </c>
      <c r="E48">
        <v>4.8</v>
      </c>
      <c r="F48">
        <v>0.999</v>
      </c>
    </row>
    <row r="49" spans="4:10">
      <c r="D49">
        <v>30</v>
      </c>
      <c r="E49">
        <v>7</v>
      </c>
      <c r="F49">
        <v>0.97399999999999998</v>
      </c>
    </row>
    <row r="50" spans="4:10">
      <c r="D50">
        <v>4</v>
      </c>
      <c r="E50">
        <v>4.8</v>
      </c>
      <c r="F50">
        <v>0.999</v>
      </c>
    </row>
    <row r="51" spans="4:10">
      <c r="D51">
        <v>8</v>
      </c>
      <c r="E51">
        <v>4.4000000000000004</v>
      </c>
      <c r="F51">
        <v>0.999</v>
      </c>
    </row>
    <row r="52" spans="4:10">
      <c r="D52">
        <v>20</v>
      </c>
      <c r="E52">
        <v>4.4000000000000004</v>
      </c>
      <c r="F52">
        <v>0.999</v>
      </c>
    </row>
    <row r="53" spans="4:10">
      <c r="D53">
        <v>25</v>
      </c>
      <c r="E53">
        <v>4.5999999999999996</v>
      </c>
      <c r="F53">
        <v>0.98599999999999999</v>
      </c>
    </row>
    <row r="54" spans="4:10">
      <c r="D54">
        <v>25</v>
      </c>
      <c r="E54">
        <v>5.0999999999999996</v>
      </c>
      <c r="F54">
        <v>0.97399999999999998</v>
      </c>
    </row>
    <row r="55" spans="4:10">
      <c r="D55">
        <v>30</v>
      </c>
      <c r="E55">
        <v>4.7</v>
      </c>
      <c r="F55">
        <v>0.98599999999999999</v>
      </c>
    </row>
    <row r="56" spans="4:10">
      <c r="D56">
        <v>30</v>
      </c>
      <c r="E56">
        <v>6</v>
      </c>
      <c r="F56">
        <v>0.96699999999999997</v>
      </c>
    </row>
    <row r="57" spans="4:10">
      <c r="D57">
        <v>4</v>
      </c>
      <c r="E57">
        <v>5.5</v>
      </c>
      <c r="F57">
        <v>0.999</v>
      </c>
    </row>
    <row r="58" spans="4:10">
      <c r="D58">
        <v>5</v>
      </c>
      <c r="E58">
        <v>5</v>
      </c>
      <c r="F58">
        <v>0.98399999999999999</v>
      </c>
    </row>
    <row r="60" spans="4:10">
      <c r="D60" s="2" t="s">
        <v>235</v>
      </c>
    </row>
    <row r="61" spans="4:10">
      <c r="D61">
        <v>37</v>
      </c>
      <c r="E61">
        <v>6.5</v>
      </c>
      <c r="F61">
        <v>0.95699999999999996</v>
      </c>
      <c r="H61"/>
      <c r="I61"/>
      <c r="J61"/>
    </row>
    <row r="62" spans="4:10">
      <c r="D62">
        <v>37</v>
      </c>
      <c r="E62">
        <v>7</v>
      </c>
      <c r="F62">
        <v>0.95699999999999996</v>
      </c>
      <c r="H62"/>
      <c r="I62"/>
      <c r="J62"/>
    </row>
    <row r="63" spans="4:10">
      <c r="D63">
        <v>37</v>
      </c>
      <c r="E63">
        <v>6</v>
      </c>
      <c r="F63">
        <v>0.96099999999999997</v>
      </c>
      <c r="H63"/>
      <c r="I63"/>
      <c r="J63"/>
    </row>
    <row r="64" spans="4:10">
      <c r="D64">
        <v>37</v>
      </c>
      <c r="E64">
        <v>5</v>
      </c>
      <c r="F64">
        <v>0.97399999999999998</v>
      </c>
      <c r="H64"/>
      <c r="I64"/>
      <c r="J64"/>
    </row>
    <row r="65" spans="4:10">
      <c r="D65">
        <v>37</v>
      </c>
      <c r="E65">
        <v>4.4000000000000004</v>
      </c>
      <c r="F65">
        <v>0.999</v>
      </c>
      <c r="H65"/>
      <c r="I65"/>
      <c r="J65"/>
    </row>
    <row r="66" spans="4:10">
      <c r="D66">
        <v>37</v>
      </c>
      <c r="E66">
        <v>4.5999999999999996</v>
      </c>
      <c r="F66">
        <v>0.98599999999999999</v>
      </c>
      <c r="H66"/>
      <c r="I66"/>
      <c r="J66"/>
    </row>
    <row r="67" spans="4:10">
      <c r="D67">
        <v>-2</v>
      </c>
      <c r="E67">
        <v>6</v>
      </c>
      <c r="F67">
        <v>0.999</v>
      </c>
      <c r="H67"/>
      <c r="I67"/>
      <c r="J67"/>
    </row>
    <row r="68" spans="4:10">
      <c r="D68">
        <v>-1</v>
      </c>
      <c r="E68">
        <v>7.2</v>
      </c>
      <c r="F68">
        <v>0.999</v>
      </c>
      <c r="H68"/>
      <c r="I68"/>
      <c r="J68"/>
    </row>
    <row r="69" spans="4:10">
      <c r="D69">
        <v>0</v>
      </c>
      <c r="E69">
        <v>5.5</v>
      </c>
      <c r="F69">
        <v>0.96399999999999997</v>
      </c>
      <c r="H69"/>
      <c r="I69"/>
      <c r="J69"/>
    </row>
    <row r="70" spans="4:10">
      <c r="D70">
        <v>0</v>
      </c>
      <c r="E70">
        <v>6</v>
      </c>
      <c r="F70">
        <v>0.96399999999999997</v>
      </c>
      <c r="H70"/>
      <c r="I70"/>
      <c r="J70"/>
    </row>
    <row r="71" spans="4:10">
      <c r="D71">
        <v>0</v>
      </c>
      <c r="E71">
        <v>6.7</v>
      </c>
      <c r="F71">
        <v>0.999</v>
      </c>
      <c r="H71"/>
      <c r="I71"/>
      <c r="J71"/>
    </row>
    <row r="72" spans="4:10">
      <c r="D72">
        <v>0</v>
      </c>
      <c r="E72">
        <v>7</v>
      </c>
      <c r="F72">
        <v>0.97099999999999997</v>
      </c>
      <c r="H72"/>
      <c r="I72"/>
      <c r="J72"/>
    </row>
    <row r="73" spans="4:10">
      <c r="D73">
        <v>2</v>
      </c>
      <c r="E73">
        <v>4.5</v>
      </c>
      <c r="F73">
        <v>0.999</v>
      </c>
      <c r="H73"/>
      <c r="I73"/>
      <c r="J73"/>
    </row>
    <row r="74" spans="4:10">
      <c r="D74">
        <v>2</v>
      </c>
      <c r="E74">
        <v>9.1</v>
      </c>
      <c r="F74">
        <v>0.999</v>
      </c>
      <c r="H74"/>
      <c r="I74"/>
      <c r="J74"/>
    </row>
    <row r="75" spans="4:10">
      <c r="D75">
        <v>4</v>
      </c>
      <c r="E75">
        <v>4.4000000000000004</v>
      </c>
      <c r="F75">
        <v>0.999</v>
      </c>
      <c r="H75"/>
      <c r="I75"/>
      <c r="J75"/>
    </row>
    <row r="76" spans="4:10">
      <c r="D76">
        <v>4</v>
      </c>
      <c r="E76">
        <v>7</v>
      </c>
      <c r="F76">
        <v>0.96099999999999997</v>
      </c>
      <c r="H76"/>
      <c r="I76"/>
      <c r="J76"/>
    </row>
    <row r="77" spans="4:10">
      <c r="D77">
        <v>10</v>
      </c>
      <c r="E77">
        <v>4.7</v>
      </c>
      <c r="F77">
        <v>0.98</v>
      </c>
      <c r="H77"/>
      <c r="I77"/>
      <c r="J77"/>
    </row>
    <row r="78" spans="4:10">
      <c r="D78">
        <v>12.8</v>
      </c>
      <c r="E78">
        <v>9.1</v>
      </c>
      <c r="F78">
        <v>0.999</v>
      </c>
      <c r="H78"/>
      <c r="I78"/>
      <c r="J78"/>
    </row>
    <row r="79" spans="4:10">
      <c r="D79">
        <v>20</v>
      </c>
      <c r="E79">
        <v>6.9</v>
      </c>
      <c r="F79">
        <v>0.93100000000000005</v>
      </c>
      <c r="H79"/>
      <c r="I79"/>
      <c r="J79"/>
    </row>
    <row r="80" spans="4:10">
      <c r="D80">
        <v>25</v>
      </c>
      <c r="E80">
        <v>4</v>
      </c>
      <c r="F80">
        <v>0.999</v>
      </c>
      <c r="H80"/>
      <c r="I80"/>
      <c r="J80"/>
    </row>
    <row r="81" spans="4:10">
      <c r="D81">
        <v>25</v>
      </c>
      <c r="E81">
        <v>4.2</v>
      </c>
      <c r="F81">
        <v>0.98599999999999999</v>
      </c>
      <c r="H81"/>
      <c r="I81"/>
      <c r="J81"/>
    </row>
    <row r="82" spans="4:10">
      <c r="D82">
        <v>25</v>
      </c>
      <c r="E82">
        <v>4.5</v>
      </c>
      <c r="F82">
        <v>0.97399999999999998</v>
      </c>
      <c r="H82"/>
      <c r="I82"/>
      <c r="J82"/>
    </row>
    <row r="83" spans="4:10">
      <c r="D83">
        <v>25</v>
      </c>
      <c r="E83">
        <v>9</v>
      </c>
      <c r="F83">
        <v>0.999</v>
      </c>
      <c r="H83"/>
      <c r="I83"/>
      <c r="J83"/>
    </row>
    <row r="84" spans="4:10">
      <c r="D84">
        <v>30</v>
      </c>
      <c r="E84">
        <v>8.6</v>
      </c>
      <c r="F84">
        <v>0.999</v>
      </c>
      <c r="H84"/>
      <c r="I84"/>
      <c r="J84"/>
    </row>
    <row r="85" spans="4:10">
      <c r="D85">
        <v>38</v>
      </c>
      <c r="E85">
        <v>7.6</v>
      </c>
      <c r="F85">
        <v>0.999</v>
      </c>
      <c r="H85"/>
      <c r="I85"/>
      <c r="J85"/>
    </row>
    <row r="86" spans="4:10">
      <c r="D86">
        <v>43</v>
      </c>
      <c r="E86">
        <v>7.2</v>
      </c>
      <c r="F86">
        <v>0.999</v>
      </c>
      <c r="H86"/>
      <c r="I86"/>
      <c r="J86"/>
    </row>
    <row r="87" spans="4:10">
      <c r="H87"/>
      <c r="I87"/>
      <c r="J87"/>
    </row>
    <row r="88" spans="4:10">
      <c r="D88" s="2" t="s">
        <v>236</v>
      </c>
    </row>
    <row r="89" spans="4:10">
      <c r="D89">
        <v>0</v>
      </c>
      <c r="E89">
        <v>6</v>
      </c>
      <c r="F89">
        <v>0.95699999999999996</v>
      </c>
    </row>
    <row r="90" spans="4:10">
      <c r="D90">
        <v>12</v>
      </c>
      <c r="E90" s="132">
        <v>11</v>
      </c>
      <c r="F90">
        <v>0.93100000000000005</v>
      </c>
    </row>
    <row r="91" spans="4:10">
      <c r="D91">
        <v>13.4</v>
      </c>
      <c r="E91">
        <v>3.8</v>
      </c>
      <c r="F91" s="132">
        <v>1</v>
      </c>
    </row>
    <row r="92" spans="4:10">
      <c r="D92">
        <v>54</v>
      </c>
      <c r="E92">
        <v>4.5</v>
      </c>
      <c r="F92" s="132">
        <v>1</v>
      </c>
    </row>
    <row r="93" spans="4:10">
      <c r="D93">
        <v>54</v>
      </c>
      <c r="E93">
        <v>5.0999999999999996</v>
      </c>
      <c r="F93">
        <v>0.94299999999999995</v>
      </c>
    </row>
    <row r="94" spans="4:10">
      <c r="D94">
        <v>-5</v>
      </c>
      <c r="E94">
        <v>3.5</v>
      </c>
      <c r="F94">
        <v>1</v>
      </c>
    </row>
    <row r="95" spans="4:10">
      <c r="D95">
        <v>-5</v>
      </c>
      <c r="E95">
        <v>11</v>
      </c>
      <c r="F95">
        <v>1</v>
      </c>
    </row>
    <row r="96" spans="4:10">
      <c r="D96">
        <v>55</v>
      </c>
      <c r="E96">
        <v>11</v>
      </c>
      <c r="F96">
        <v>1</v>
      </c>
    </row>
    <row r="97" spans="4:6">
      <c r="D97">
        <v>55</v>
      </c>
      <c r="E97">
        <v>11</v>
      </c>
      <c r="F97">
        <v>0.9</v>
      </c>
    </row>
    <row r="99" spans="4:6">
      <c r="D99" s="124" t="s">
        <v>237</v>
      </c>
    </row>
    <row r="100" spans="4:6">
      <c r="D100">
        <v>20</v>
      </c>
      <c r="E100">
        <v>7</v>
      </c>
      <c r="F100">
        <v>0.999</v>
      </c>
    </row>
    <row r="101" spans="4:6">
      <c r="D101">
        <v>0</v>
      </c>
      <c r="E101">
        <v>7</v>
      </c>
      <c r="F101">
        <v>0.999</v>
      </c>
    </row>
    <row r="102" spans="4:6">
      <c r="D102">
        <v>8</v>
      </c>
      <c r="E102">
        <v>4.4000000000000004</v>
      </c>
      <c r="F102">
        <v>0.999</v>
      </c>
    </row>
    <row r="103" spans="4:6">
      <c r="D103">
        <v>20</v>
      </c>
      <c r="E103">
        <v>4.4000000000000004</v>
      </c>
      <c r="F103">
        <v>0.999</v>
      </c>
    </row>
    <row r="104" spans="4:6">
      <c r="D104">
        <v>0</v>
      </c>
      <c r="E104">
        <v>4.5</v>
      </c>
      <c r="F104">
        <v>0.999</v>
      </c>
    </row>
    <row r="105" spans="4:6">
      <c r="D105">
        <v>20</v>
      </c>
      <c r="E105">
        <v>4.5</v>
      </c>
      <c r="F105">
        <v>0.95</v>
      </c>
    </row>
    <row r="106" spans="4:6">
      <c r="D106">
        <v>20</v>
      </c>
      <c r="E106">
        <v>5</v>
      </c>
      <c r="F106">
        <v>0.999</v>
      </c>
    </row>
    <row r="107" spans="4:6">
      <c r="D107">
        <v>20</v>
      </c>
      <c r="E107">
        <v>7</v>
      </c>
      <c r="F107">
        <v>0.95</v>
      </c>
    </row>
    <row r="108" spans="4:6">
      <c r="D108">
        <v>0</v>
      </c>
      <c r="E108">
        <v>4.5</v>
      </c>
      <c r="F108">
        <v>0.95</v>
      </c>
    </row>
    <row r="109" spans="4:6">
      <c r="D109">
        <v>10</v>
      </c>
      <c r="E109">
        <v>7</v>
      </c>
      <c r="F109">
        <v>0.94699999999999995</v>
      </c>
    </row>
    <row r="110" spans="4:6">
      <c r="D110">
        <v>15</v>
      </c>
      <c r="E110">
        <v>6.9</v>
      </c>
      <c r="F110">
        <v>0.94699999999999995</v>
      </c>
    </row>
    <row r="111" spans="4:6">
      <c r="D111">
        <v>25</v>
      </c>
      <c r="E111">
        <v>7</v>
      </c>
      <c r="F111">
        <v>0.96099999999999997</v>
      </c>
    </row>
    <row r="112" spans="4:6">
      <c r="D112">
        <v>25</v>
      </c>
      <c r="E112">
        <v>4.5</v>
      </c>
      <c r="F112">
        <v>0.97399999999999998</v>
      </c>
    </row>
    <row r="113" spans="4:6">
      <c r="D113">
        <v>25</v>
      </c>
      <c r="E113">
        <v>5</v>
      </c>
      <c r="F113">
        <v>0.96099999999999997</v>
      </c>
    </row>
    <row r="114" spans="4:6">
      <c r="D114">
        <v>15</v>
      </c>
      <c r="E114">
        <v>6</v>
      </c>
      <c r="F114">
        <v>0.94699999999999995</v>
      </c>
    </row>
    <row r="115" spans="4:6">
      <c r="D115">
        <v>-1</v>
      </c>
      <c r="E115">
        <v>7.2</v>
      </c>
      <c r="F115">
        <v>0.999</v>
      </c>
    </row>
    <row r="116" spans="4:6">
      <c r="D116">
        <v>25</v>
      </c>
      <c r="E116">
        <v>7.2</v>
      </c>
      <c r="F116">
        <v>0.97099999999999997</v>
      </c>
    </row>
    <row r="117" spans="4:6">
      <c r="D117">
        <v>25</v>
      </c>
      <c r="E117">
        <v>4.5</v>
      </c>
      <c r="F117">
        <v>0.999</v>
      </c>
    </row>
    <row r="118" spans="4:6">
      <c r="D118">
        <v>25</v>
      </c>
      <c r="E118">
        <v>7.3</v>
      </c>
      <c r="F118">
        <v>0.999</v>
      </c>
    </row>
    <row r="119" spans="4:6">
      <c r="D119">
        <v>4</v>
      </c>
      <c r="E119">
        <v>7.5</v>
      </c>
      <c r="F119">
        <v>0.999</v>
      </c>
    </row>
    <row r="120" spans="4:6">
      <c r="D120">
        <v>-1.5</v>
      </c>
      <c r="E120">
        <v>6.1</v>
      </c>
      <c r="F120">
        <v>0.999</v>
      </c>
    </row>
    <row r="121" spans="4:6">
      <c r="D121">
        <v>0</v>
      </c>
      <c r="E121">
        <v>7</v>
      </c>
      <c r="F121">
        <v>0.97099999999999997</v>
      </c>
    </row>
    <row r="122" spans="4:6">
      <c r="D122">
        <v>2</v>
      </c>
      <c r="E122">
        <v>7</v>
      </c>
      <c r="F122">
        <v>0.95</v>
      </c>
    </row>
  </sheetData>
  <phoneticPr fontId="0" type="noConversion"/>
  <printOptions gridLines="1" gridLinesSet="0"/>
  <pageMargins left="0.75" right="0.75" top="1" bottom="1" header="0.5" footer="0.5"/>
  <pageSetup paperSize="9" orientation="portrait" horizontalDpi="4294967292" r:id="rId1"/>
  <headerFooter alignWithMargins="0">
    <oddHeader>&amp;A</oddHeader>
    <oddFooter>Page &amp;P</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O128"/>
  <sheetViews>
    <sheetView workbookViewId="0">
      <selection activeCell="E28" sqref="E28"/>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Orgs!B24</f>
        <v>Yersinia enterocolitica + CO_2</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EXP(-2.9)</f>
        <v>5.5023220056407231E-2</v>
      </c>
      <c r="D3" s="30">
        <v>20</v>
      </c>
      <c r="E3" s="30">
        <v>7</v>
      </c>
      <c r="F3" s="32" t="s">
        <v>201</v>
      </c>
      <c r="G3" s="30">
        <v>0.5</v>
      </c>
      <c r="H3" s="30">
        <v>0</v>
      </c>
      <c r="I3" s="30"/>
      <c r="J3" s="30"/>
      <c r="K3" s="30"/>
      <c r="L3" s="30"/>
      <c r="M3" s="30"/>
      <c r="N3" s="30"/>
      <c r="O3" s="33"/>
    </row>
    <row r="4" spans="1:15">
      <c r="A4" s="29" t="s">
        <v>202</v>
      </c>
      <c r="B4" s="30"/>
      <c r="C4" s="34"/>
      <c r="D4" s="30">
        <v>0</v>
      </c>
      <c r="E4" s="30">
        <v>4.4000000000000004</v>
      </c>
      <c r="F4" s="30"/>
      <c r="G4" s="30">
        <v>0</v>
      </c>
      <c r="H4" s="30">
        <v>0</v>
      </c>
      <c r="I4" s="30"/>
      <c r="J4" s="30"/>
      <c r="K4" s="30"/>
      <c r="L4" s="30"/>
      <c r="M4" s="30"/>
      <c r="N4" s="30"/>
      <c r="O4" s="33"/>
    </row>
    <row r="5" spans="1:15" ht="13.5" thickBot="1">
      <c r="A5" s="35" t="s">
        <v>203</v>
      </c>
      <c r="B5" s="36"/>
      <c r="C5" s="37"/>
      <c r="D5" s="36">
        <v>30</v>
      </c>
      <c r="E5" s="36">
        <v>7.1</v>
      </c>
      <c r="F5" s="36"/>
      <c r="G5" s="36">
        <v>7</v>
      </c>
      <c r="H5" s="36">
        <v>80</v>
      </c>
      <c r="I5" s="36"/>
      <c r="J5" s="36"/>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240</v>
      </c>
      <c r="I8" s="36" t="s">
        <v>211</v>
      </c>
      <c r="J8" s="36" t="s">
        <v>211</v>
      </c>
      <c r="K8" s="36" t="s">
        <v>211</v>
      </c>
      <c r="L8" s="36" t="s">
        <v>211</v>
      </c>
      <c r="M8" s="36" t="s">
        <v>211</v>
      </c>
      <c r="N8" s="36" t="s">
        <v>211</v>
      </c>
      <c r="O8" s="38" t="s">
        <v>211</v>
      </c>
    </row>
    <row r="9" spans="1:15" ht="13.5" thickBot="1">
      <c r="A9" s="2" t="s">
        <v>212</v>
      </c>
      <c r="D9" s="2">
        <v>4</v>
      </c>
      <c r="E9" s="2">
        <v>1</v>
      </c>
      <c r="F9" s="2">
        <v>1.4999999999999999E-2</v>
      </c>
      <c r="H9" s="2">
        <v>50</v>
      </c>
    </row>
    <row r="10" spans="1:15" ht="14.25">
      <c r="A10" s="39"/>
      <c r="B10" s="53" t="s">
        <v>213</v>
      </c>
      <c r="C10" s="27"/>
      <c r="D10" s="27"/>
      <c r="E10" s="43"/>
      <c r="F10" s="43"/>
      <c r="G10" s="44"/>
      <c r="H10" s="56" t="s">
        <v>214</v>
      </c>
      <c r="I10" s="45"/>
    </row>
    <row r="11" spans="1:15">
      <c r="A11" s="29" t="s">
        <v>215</v>
      </c>
      <c r="B11" s="32">
        <v>0.33</v>
      </c>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amp;B24&amp;"*("&amp;C24&amp;")+"&amp;B25&amp;"*("&amp;C25&amp;")+"&amp;B26&amp;"*("&amp;C26&amp;")+"&amp;B27&amp;"*("&amp;C27&amp;")+"&amp;B28&amp;"*("&amp;C28&amp;"))"</f>
        <v xml:space="preserve"> =EXP(1*(-12.92)+tr*(0.2053)+pr*(2.714)+bw*(11.64)+tr*pr*(-0.004835)+tr*bw*(0.06621)+pr*bw*(-0.3789)+tr^2*(-0.002438)+pr^2*(-0.1908)+bw^2*(-96.19)+Cr*(-0.01455)+tr*Cr*(0.0003582)+pr*Cr*(-0.001278)+bw*Cr*(0.02604)+Cr^2*(0.00006214))</v>
      </c>
      <c r="C12" s="49"/>
      <c r="D12" s="50"/>
      <c r="E12" s="49"/>
      <c r="F12" s="50"/>
      <c r="G12" s="51"/>
      <c r="H12" s="36">
        <f>19.11/2.3</f>
        <v>8.3086956521739133</v>
      </c>
      <c r="I12" s="38"/>
    </row>
    <row r="14" spans="1:15">
      <c r="A14" s="1">
        <v>1</v>
      </c>
      <c r="B14" s="24">
        <v>1</v>
      </c>
      <c r="C14" s="54">
        <v>-12.92</v>
      </c>
    </row>
    <row r="15" spans="1:15">
      <c r="A15" s="1">
        <v>20</v>
      </c>
      <c r="B15" s="24" t="s">
        <v>45</v>
      </c>
      <c r="C15" s="54">
        <v>0.20530000000000001</v>
      </c>
    </row>
    <row r="16" spans="1:15">
      <c r="A16" s="1">
        <v>7</v>
      </c>
      <c r="B16" s="24" t="s">
        <v>46</v>
      </c>
      <c r="C16" s="54">
        <v>2.714</v>
      </c>
    </row>
    <row r="17" spans="1:8">
      <c r="A17" s="1">
        <v>0.5</v>
      </c>
      <c r="B17" s="24" t="s">
        <v>47</v>
      </c>
      <c r="C17" s="54">
        <v>11.64</v>
      </c>
    </row>
    <row r="18" spans="1:8">
      <c r="A18" s="1">
        <f>A$15*A$16</f>
        <v>140</v>
      </c>
      <c r="B18" s="24" t="s">
        <v>222</v>
      </c>
      <c r="C18" s="54">
        <v>-4.8349999999999999E-3</v>
      </c>
    </row>
    <row r="19" spans="1:8">
      <c r="A19" s="1">
        <f>A$15*A$17</f>
        <v>10</v>
      </c>
      <c r="B19" s="24" t="s">
        <v>225</v>
      </c>
      <c r="C19" s="54">
        <v>6.6210000000000005E-2</v>
      </c>
    </row>
    <row r="20" spans="1:8">
      <c r="A20" s="1">
        <f>A$16*A$17</f>
        <v>3.5</v>
      </c>
      <c r="B20" s="24" t="s">
        <v>227</v>
      </c>
      <c r="C20" s="54">
        <v>-0.37890000000000001</v>
      </c>
    </row>
    <row r="21" spans="1:8">
      <c r="A21" s="1">
        <f>A$15^2</f>
        <v>400</v>
      </c>
      <c r="B21" s="24" t="s">
        <v>229</v>
      </c>
      <c r="C21" s="54">
        <v>-2.4380000000000001E-3</v>
      </c>
    </row>
    <row r="22" spans="1:8">
      <c r="A22" s="1">
        <f>A$16^2</f>
        <v>49</v>
      </c>
      <c r="B22" s="24" t="s">
        <v>231</v>
      </c>
      <c r="C22" s="54">
        <v>-0.1908</v>
      </c>
    </row>
    <row r="23" spans="1:8">
      <c r="A23" s="1">
        <f>A$17^2</f>
        <v>0.25</v>
      </c>
      <c r="B23" s="24" t="s">
        <v>233</v>
      </c>
      <c r="C23" s="54">
        <v>-96.19</v>
      </c>
    </row>
    <row r="24" spans="1:8">
      <c r="A24" s="1">
        <v>20</v>
      </c>
      <c r="B24" s="24" t="s">
        <v>49</v>
      </c>
      <c r="C24" s="54">
        <v>-1.455E-2</v>
      </c>
    </row>
    <row r="25" spans="1:8">
      <c r="A25" s="1">
        <f>A$15*A$24</f>
        <v>400</v>
      </c>
      <c r="B25" s="24" t="s">
        <v>241</v>
      </c>
      <c r="C25" s="54">
        <v>3.5819999999999998E-4</v>
      </c>
    </row>
    <row r="26" spans="1:8">
      <c r="A26" s="1">
        <f>A$16*A$24</f>
        <v>140</v>
      </c>
      <c r="B26" s="24" t="s">
        <v>242</v>
      </c>
      <c r="C26" s="54">
        <v>-1.2780000000000001E-3</v>
      </c>
    </row>
    <row r="27" spans="1:8">
      <c r="A27" s="1">
        <f>A$17*A$24</f>
        <v>10</v>
      </c>
      <c r="B27" s="24" t="s">
        <v>243</v>
      </c>
      <c r="C27" s="54">
        <v>2.6040000000000001E-2</v>
      </c>
    </row>
    <row r="28" spans="1:8">
      <c r="A28" s="1">
        <f>A$24^2</f>
        <v>400</v>
      </c>
      <c r="B28" s="24" t="s">
        <v>244</v>
      </c>
      <c r="C28" s="54">
        <v>6.2139999999999998E-5</v>
      </c>
    </row>
    <row r="30" spans="1:8">
      <c r="D30" s="124" t="s">
        <v>234</v>
      </c>
    </row>
    <row r="31" spans="1:8">
      <c r="D31">
        <v>0</v>
      </c>
      <c r="E31">
        <v>5.5</v>
      </c>
      <c r="F31">
        <v>0.995</v>
      </c>
      <c r="H31">
        <v>0</v>
      </c>
    </row>
    <row r="32" spans="1:8">
      <c r="D32">
        <v>7</v>
      </c>
      <c r="E32">
        <v>6.5</v>
      </c>
      <c r="F32">
        <v>0.96399999999999997</v>
      </c>
      <c r="H32">
        <v>0</v>
      </c>
    </row>
    <row r="33" spans="4:8">
      <c r="D33">
        <v>0</v>
      </c>
      <c r="E33">
        <v>5.5</v>
      </c>
      <c r="F33">
        <v>0.98899999999999999</v>
      </c>
      <c r="H33">
        <v>0</v>
      </c>
    </row>
    <row r="34" spans="4:8">
      <c r="D34">
        <v>10</v>
      </c>
      <c r="E34">
        <v>7</v>
      </c>
      <c r="F34">
        <v>0.95699999999999996</v>
      </c>
      <c r="H34">
        <v>0</v>
      </c>
    </row>
    <row r="35" spans="4:8">
      <c r="D35">
        <v>0</v>
      </c>
      <c r="E35">
        <v>6</v>
      </c>
      <c r="F35">
        <v>0.999</v>
      </c>
      <c r="H35">
        <v>0</v>
      </c>
    </row>
    <row r="36" spans="4:8">
      <c r="D36">
        <v>15</v>
      </c>
      <c r="E36">
        <v>6.5</v>
      </c>
      <c r="F36">
        <v>0.95699999999999996</v>
      </c>
      <c r="H36">
        <v>0</v>
      </c>
    </row>
    <row r="37" spans="4:8">
      <c r="D37">
        <v>20</v>
      </c>
      <c r="E37">
        <v>7</v>
      </c>
      <c r="F37">
        <v>0.95699999999999996</v>
      </c>
      <c r="H37">
        <v>0</v>
      </c>
    </row>
    <row r="38" spans="4:8">
      <c r="D38">
        <v>30</v>
      </c>
      <c r="E38">
        <v>5</v>
      </c>
      <c r="F38">
        <v>0.999</v>
      </c>
      <c r="H38">
        <v>0</v>
      </c>
    </row>
    <row r="39" spans="4:8">
      <c r="D39">
        <v>0</v>
      </c>
      <c r="E39">
        <v>6.5</v>
      </c>
      <c r="F39">
        <v>0.97699999999999998</v>
      </c>
      <c r="H39">
        <v>0</v>
      </c>
    </row>
    <row r="40" spans="4:8">
      <c r="D40">
        <v>30</v>
      </c>
      <c r="E40">
        <v>7</v>
      </c>
      <c r="F40">
        <v>0.999</v>
      </c>
      <c r="H40">
        <v>0</v>
      </c>
    </row>
    <row r="41" spans="4:8">
      <c r="D41">
        <v>0</v>
      </c>
      <c r="E41">
        <v>7</v>
      </c>
      <c r="F41">
        <v>0.999</v>
      </c>
      <c r="H41">
        <v>0</v>
      </c>
    </row>
    <row r="42" spans="4:8">
      <c r="D42">
        <v>0</v>
      </c>
      <c r="E42">
        <v>7</v>
      </c>
      <c r="F42">
        <v>0.97699999999999998</v>
      </c>
      <c r="H42">
        <v>0</v>
      </c>
    </row>
    <row r="43" spans="4:8">
      <c r="D43">
        <v>10</v>
      </c>
      <c r="E43">
        <v>6</v>
      </c>
      <c r="F43">
        <v>0.96099999999999997</v>
      </c>
      <c r="H43">
        <v>0</v>
      </c>
    </row>
    <row r="44" spans="4:8">
      <c r="D44">
        <v>30</v>
      </c>
      <c r="E44">
        <v>5.5</v>
      </c>
      <c r="F44">
        <v>0.97399999999999998</v>
      </c>
      <c r="H44">
        <v>0</v>
      </c>
    </row>
    <row r="45" spans="4:8">
      <c r="D45">
        <v>15</v>
      </c>
      <c r="E45">
        <v>6</v>
      </c>
      <c r="F45">
        <v>0.96099999999999997</v>
      </c>
      <c r="H45">
        <v>0</v>
      </c>
    </row>
    <row r="46" spans="4:8">
      <c r="D46">
        <v>10</v>
      </c>
      <c r="E46">
        <v>5</v>
      </c>
      <c r="F46">
        <v>0.97399999999999998</v>
      </c>
      <c r="H46">
        <v>0</v>
      </c>
    </row>
    <row r="47" spans="4:8">
      <c r="D47">
        <v>25</v>
      </c>
      <c r="E47">
        <v>4.5</v>
      </c>
      <c r="F47">
        <v>0.999</v>
      </c>
      <c r="H47">
        <v>0</v>
      </c>
    </row>
    <row r="48" spans="4:8">
      <c r="D48">
        <v>30</v>
      </c>
      <c r="E48">
        <v>4.8</v>
      </c>
      <c r="F48">
        <v>0.999</v>
      </c>
      <c r="H48">
        <v>0</v>
      </c>
    </row>
    <row r="49" spans="4:8">
      <c r="D49">
        <v>30</v>
      </c>
      <c r="E49">
        <v>7</v>
      </c>
      <c r="F49">
        <v>0.97399999999999998</v>
      </c>
      <c r="H49">
        <v>0</v>
      </c>
    </row>
    <row r="50" spans="4:8">
      <c r="D50">
        <v>4</v>
      </c>
      <c r="E50">
        <v>4.8</v>
      </c>
      <c r="F50">
        <v>0.999</v>
      </c>
      <c r="H50">
        <v>0</v>
      </c>
    </row>
    <row r="51" spans="4:8">
      <c r="D51">
        <v>8</v>
      </c>
      <c r="E51">
        <v>4.4000000000000004</v>
      </c>
      <c r="F51">
        <v>0.999</v>
      </c>
      <c r="H51">
        <v>0</v>
      </c>
    </row>
    <row r="52" spans="4:8">
      <c r="D52">
        <v>20</v>
      </c>
      <c r="E52">
        <v>4.4000000000000004</v>
      </c>
      <c r="F52">
        <v>0.999</v>
      </c>
      <c r="H52">
        <v>0</v>
      </c>
    </row>
    <row r="53" spans="4:8">
      <c r="D53">
        <v>25</v>
      </c>
      <c r="E53">
        <v>4.5999999999999996</v>
      </c>
      <c r="F53">
        <v>0.98599999999999999</v>
      </c>
      <c r="H53">
        <v>0</v>
      </c>
    </row>
    <row r="54" spans="4:8">
      <c r="D54">
        <v>25</v>
      </c>
      <c r="E54">
        <v>5.0999999999999996</v>
      </c>
      <c r="F54">
        <v>0.97399999999999998</v>
      </c>
      <c r="H54">
        <v>0</v>
      </c>
    </row>
    <row r="55" spans="4:8">
      <c r="D55">
        <v>30</v>
      </c>
      <c r="E55">
        <v>4.7</v>
      </c>
      <c r="F55">
        <v>0.98599999999999999</v>
      </c>
      <c r="H55">
        <v>0</v>
      </c>
    </row>
    <row r="56" spans="4:8">
      <c r="D56">
        <v>30</v>
      </c>
      <c r="E56">
        <v>6</v>
      </c>
      <c r="F56">
        <v>0.96699999999999997</v>
      </c>
      <c r="H56">
        <v>0</v>
      </c>
    </row>
    <row r="57" spans="4:8">
      <c r="D57">
        <v>4</v>
      </c>
      <c r="E57">
        <v>5.5</v>
      </c>
      <c r="F57">
        <v>0.999</v>
      </c>
      <c r="H57">
        <v>0</v>
      </c>
    </row>
    <row r="58" spans="4:8">
      <c r="D58">
        <v>5</v>
      </c>
      <c r="E58">
        <v>5</v>
      </c>
      <c r="F58">
        <v>0.98399999999999999</v>
      </c>
      <c r="H58">
        <v>0</v>
      </c>
    </row>
    <row r="59" spans="4:8">
      <c r="D59">
        <v>25</v>
      </c>
      <c r="E59">
        <v>6.9</v>
      </c>
      <c r="F59">
        <v>0.97399999999999998</v>
      </c>
      <c r="H59">
        <v>30</v>
      </c>
    </row>
    <row r="60" spans="4:8">
      <c r="D60">
        <v>15</v>
      </c>
      <c r="E60">
        <v>6.9</v>
      </c>
      <c r="F60">
        <v>0.97399999999999998</v>
      </c>
      <c r="H60">
        <v>50</v>
      </c>
    </row>
    <row r="61" spans="4:8">
      <c r="D61">
        <v>10</v>
      </c>
      <c r="E61">
        <v>6</v>
      </c>
      <c r="F61">
        <v>0.97399999999999998</v>
      </c>
      <c r="H61">
        <v>50</v>
      </c>
    </row>
    <row r="62" spans="4:8">
      <c r="D62">
        <v>5</v>
      </c>
      <c r="E62">
        <v>6</v>
      </c>
      <c r="F62">
        <v>0.999</v>
      </c>
      <c r="H62">
        <v>50</v>
      </c>
    </row>
    <row r="63" spans="4:8">
      <c r="D63">
        <v>30</v>
      </c>
      <c r="E63">
        <v>6</v>
      </c>
      <c r="F63">
        <v>0.98599999999999999</v>
      </c>
      <c r="H63">
        <v>50</v>
      </c>
    </row>
    <row r="64" spans="4:8">
      <c r="D64">
        <v>25</v>
      </c>
      <c r="E64">
        <v>7</v>
      </c>
      <c r="F64">
        <v>0.999</v>
      </c>
      <c r="H64">
        <v>80</v>
      </c>
    </row>
    <row r="65" spans="4:8">
      <c r="D65">
        <v>25</v>
      </c>
      <c r="E65">
        <v>6</v>
      </c>
      <c r="F65">
        <v>0.98599999999999999</v>
      </c>
      <c r="H65">
        <v>80</v>
      </c>
    </row>
    <row r="66" spans="4:8">
      <c r="D66">
        <v>15</v>
      </c>
      <c r="E66">
        <v>6.1</v>
      </c>
      <c r="F66">
        <v>0.999</v>
      </c>
      <c r="H66">
        <v>80</v>
      </c>
    </row>
    <row r="67" spans="4:8">
      <c r="D67">
        <v>15</v>
      </c>
      <c r="E67">
        <v>5.6</v>
      </c>
      <c r="F67">
        <v>0.98599999999999999</v>
      </c>
      <c r="H67">
        <v>80</v>
      </c>
    </row>
    <row r="68" spans="4:8">
      <c r="D68">
        <v>15</v>
      </c>
      <c r="E68">
        <v>6.6</v>
      </c>
      <c r="F68">
        <v>0.98599999999999999</v>
      </c>
      <c r="H68">
        <v>80</v>
      </c>
    </row>
    <row r="69" spans="4:8">
      <c r="D69">
        <v>10</v>
      </c>
      <c r="E69">
        <v>6</v>
      </c>
      <c r="F69">
        <v>0.999</v>
      </c>
      <c r="H69">
        <v>80</v>
      </c>
    </row>
    <row r="70" spans="4:8">
      <c r="D70">
        <v>10</v>
      </c>
      <c r="E70">
        <v>5.6</v>
      </c>
      <c r="F70">
        <v>0.98599999999999999</v>
      </c>
      <c r="H70">
        <v>80</v>
      </c>
    </row>
    <row r="71" spans="4:8">
      <c r="D71">
        <v>5</v>
      </c>
      <c r="E71">
        <v>6.9</v>
      </c>
      <c r="F71">
        <v>0.999</v>
      </c>
      <c r="H71">
        <v>80</v>
      </c>
    </row>
    <row r="72" spans="4:8">
      <c r="D72">
        <v>5</v>
      </c>
      <c r="E72">
        <v>6.5</v>
      </c>
      <c r="F72">
        <v>0.98599999999999999</v>
      </c>
      <c r="H72">
        <v>80</v>
      </c>
    </row>
    <row r="73" spans="4:8">
      <c r="D73">
        <v>30</v>
      </c>
      <c r="E73">
        <v>5.6</v>
      </c>
      <c r="F73">
        <v>0.999</v>
      </c>
      <c r="H73">
        <v>80</v>
      </c>
    </row>
    <row r="74" spans="4:8">
      <c r="D74">
        <v>30</v>
      </c>
      <c r="E74">
        <v>7</v>
      </c>
      <c r="F74">
        <v>0.999</v>
      </c>
      <c r="H74">
        <v>80</v>
      </c>
    </row>
    <row r="76" spans="4:8">
      <c r="D76" s="2" t="s">
        <v>235</v>
      </c>
    </row>
    <row r="77" spans="4:8">
      <c r="D77">
        <v>37</v>
      </c>
      <c r="E77">
        <v>6.5</v>
      </c>
      <c r="F77">
        <v>0.95699999999999996</v>
      </c>
      <c r="H77">
        <v>0</v>
      </c>
    </row>
    <row r="78" spans="4:8">
      <c r="D78">
        <v>37</v>
      </c>
      <c r="E78">
        <v>7</v>
      </c>
      <c r="F78">
        <v>0.95699999999999996</v>
      </c>
      <c r="H78">
        <v>0</v>
      </c>
    </row>
    <row r="79" spans="4:8">
      <c r="D79">
        <v>37</v>
      </c>
      <c r="E79">
        <v>6</v>
      </c>
      <c r="F79">
        <v>0.96099999999999997</v>
      </c>
      <c r="H79">
        <v>0</v>
      </c>
    </row>
    <row r="80" spans="4:8">
      <c r="D80">
        <v>37</v>
      </c>
      <c r="E80">
        <v>5</v>
      </c>
      <c r="F80">
        <v>0.97399999999999998</v>
      </c>
      <c r="H80">
        <v>0</v>
      </c>
    </row>
    <row r="81" spans="4:8">
      <c r="D81">
        <v>37</v>
      </c>
      <c r="E81">
        <v>4.4000000000000004</v>
      </c>
      <c r="F81">
        <v>0.999</v>
      </c>
      <c r="H81">
        <v>0</v>
      </c>
    </row>
    <row r="82" spans="4:8">
      <c r="D82">
        <v>37</v>
      </c>
      <c r="E82">
        <v>4.5999999999999996</v>
      </c>
      <c r="F82">
        <v>0.98599999999999999</v>
      </c>
      <c r="H82">
        <v>0</v>
      </c>
    </row>
    <row r="83" spans="4:8">
      <c r="D83">
        <v>37</v>
      </c>
      <c r="E83">
        <v>6</v>
      </c>
      <c r="F83">
        <v>0.97399999999999998</v>
      </c>
      <c r="H83">
        <v>50</v>
      </c>
    </row>
    <row r="84" spans="4:8">
      <c r="D84">
        <v>37</v>
      </c>
      <c r="E84">
        <v>7</v>
      </c>
      <c r="F84">
        <v>0.97399999999999998</v>
      </c>
      <c r="H84">
        <v>50</v>
      </c>
    </row>
    <row r="85" spans="4:8">
      <c r="D85">
        <v>37</v>
      </c>
      <c r="E85">
        <v>5.6</v>
      </c>
      <c r="F85">
        <v>0.98599999999999999</v>
      </c>
      <c r="H85">
        <v>80</v>
      </c>
    </row>
    <row r="86" spans="4:8">
      <c r="D86">
        <v>10</v>
      </c>
      <c r="E86">
        <v>5.6</v>
      </c>
      <c r="F86">
        <v>0.999</v>
      </c>
      <c r="H86">
        <v>80</v>
      </c>
    </row>
    <row r="87" spans="4:8">
      <c r="D87">
        <v>5</v>
      </c>
      <c r="E87">
        <v>7</v>
      </c>
      <c r="F87">
        <v>0.98599999999999999</v>
      </c>
      <c r="H87">
        <v>80</v>
      </c>
    </row>
    <row r="88" spans="4:8">
      <c r="D88">
        <v>37</v>
      </c>
      <c r="E88">
        <v>7</v>
      </c>
      <c r="F88">
        <v>0.98599999999999999</v>
      </c>
      <c r="H88">
        <v>80</v>
      </c>
    </row>
    <row r="89" spans="4:8">
      <c r="D89">
        <v>37</v>
      </c>
      <c r="E89">
        <v>5.6</v>
      </c>
      <c r="F89">
        <v>0.999</v>
      </c>
      <c r="H89">
        <v>80</v>
      </c>
    </row>
    <row r="90" spans="4:8">
      <c r="D90">
        <v>37</v>
      </c>
      <c r="E90">
        <v>7</v>
      </c>
      <c r="F90">
        <v>0.999</v>
      </c>
      <c r="H90">
        <v>80</v>
      </c>
    </row>
    <row r="91" spans="4:8">
      <c r="D91">
        <v>-2</v>
      </c>
      <c r="E91">
        <v>6</v>
      </c>
      <c r="F91">
        <v>0.999</v>
      </c>
      <c r="H91">
        <v>0</v>
      </c>
    </row>
    <row r="92" spans="4:8">
      <c r="D92">
        <v>-1</v>
      </c>
      <c r="E92">
        <v>7.2</v>
      </c>
      <c r="F92">
        <v>0.999</v>
      </c>
      <c r="H92">
        <v>0</v>
      </c>
    </row>
    <row r="93" spans="4:8">
      <c r="D93">
        <v>0</v>
      </c>
      <c r="E93">
        <v>5.5</v>
      </c>
      <c r="F93">
        <v>0.96399999999999997</v>
      </c>
      <c r="H93">
        <v>0</v>
      </c>
    </row>
    <row r="94" spans="4:8">
      <c r="D94">
        <v>0</v>
      </c>
      <c r="E94">
        <v>6</v>
      </c>
      <c r="F94">
        <v>0.96399999999999997</v>
      </c>
      <c r="H94">
        <v>0</v>
      </c>
    </row>
    <row r="95" spans="4:8">
      <c r="D95">
        <v>0</v>
      </c>
      <c r="E95">
        <v>6.7</v>
      </c>
      <c r="F95">
        <v>0.999</v>
      </c>
      <c r="H95">
        <v>0</v>
      </c>
    </row>
    <row r="96" spans="4:8">
      <c r="D96">
        <v>0</v>
      </c>
      <c r="E96">
        <v>7</v>
      </c>
      <c r="F96">
        <v>0.97099999999999997</v>
      </c>
      <c r="H96">
        <v>0</v>
      </c>
    </row>
    <row r="97" spans="4:8">
      <c r="D97">
        <v>1</v>
      </c>
      <c r="E97">
        <v>6.61</v>
      </c>
      <c r="F97">
        <v>0.999</v>
      </c>
      <c r="H97">
        <v>81.5</v>
      </c>
    </row>
    <row r="98" spans="4:8">
      <c r="D98">
        <v>1</v>
      </c>
      <c r="E98">
        <v>7</v>
      </c>
      <c r="F98">
        <v>0.999</v>
      </c>
      <c r="H98">
        <v>83</v>
      </c>
    </row>
    <row r="99" spans="4:8">
      <c r="D99">
        <v>2</v>
      </c>
      <c r="E99">
        <v>4.5</v>
      </c>
      <c r="F99">
        <v>0.999</v>
      </c>
      <c r="H99">
        <v>0</v>
      </c>
    </row>
    <row r="100" spans="4:8">
      <c r="D100">
        <v>2</v>
      </c>
      <c r="E100">
        <v>9.1</v>
      </c>
      <c r="F100">
        <v>0.999</v>
      </c>
      <c r="H100">
        <v>0</v>
      </c>
    </row>
    <row r="101" spans="4:8">
      <c r="D101">
        <v>4</v>
      </c>
      <c r="E101">
        <v>4.4000000000000004</v>
      </c>
      <c r="F101">
        <v>0.999</v>
      </c>
      <c r="H101">
        <v>0</v>
      </c>
    </row>
    <row r="102" spans="4:8">
      <c r="D102">
        <v>4</v>
      </c>
      <c r="E102">
        <v>7</v>
      </c>
      <c r="F102">
        <v>0.96099999999999997</v>
      </c>
      <c r="H102">
        <v>0</v>
      </c>
    </row>
    <row r="103" spans="4:8">
      <c r="D103">
        <v>5</v>
      </c>
      <c r="E103">
        <v>6.5</v>
      </c>
      <c r="F103">
        <v>0.98599999999999999</v>
      </c>
      <c r="H103">
        <v>80</v>
      </c>
    </row>
    <row r="104" spans="4:8">
      <c r="D104">
        <v>5</v>
      </c>
      <c r="E104">
        <v>7</v>
      </c>
      <c r="F104">
        <v>0.999</v>
      </c>
      <c r="H104">
        <v>83</v>
      </c>
    </row>
    <row r="105" spans="4:8">
      <c r="D105">
        <v>5</v>
      </c>
      <c r="E105">
        <v>7.2</v>
      </c>
      <c r="F105">
        <v>0.99</v>
      </c>
      <c r="H105">
        <v>85</v>
      </c>
    </row>
    <row r="106" spans="4:8">
      <c r="D106">
        <v>10</v>
      </c>
      <c r="E106">
        <v>4.7</v>
      </c>
      <c r="F106">
        <v>0.98</v>
      </c>
      <c r="H106">
        <v>0</v>
      </c>
    </row>
    <row r="107" spans="4:8">
      <c r="D107">
        <v>10</v>
      </c>
      <c r="E107">
        <v>5.6</v>
      </c>
      <c r="F107">
        <v>0.98599999999999999</v>
      </c>
      <c r="H107">
        <v>80</v>
      </c>
    </row>
    <row r="108" spans="4:8">
      <c r="D108">
        <v>12.8</v>
      </c>
      <c r="E108">
        <v>9.1</v>
      </c>
      <c r="F108">
        <v>0.999</v>
      </c>
      <c r="H108">
        <v>0</v>
      </c>
    </row>
    <row r="109" spans="4:8">
      <c r="D109">
        <v>20</v>
      </c>
      <c r="E109">
        <v>6.9</v>
      </c>
      <c r="F109">
        <v>0.93100000000000005</v>
      </c>
      <c r="H109">
        <v>0</v>
      </c>
    </row>
    <row r="110" spans="4:8">
      <c r="D110">
        <v>25</v>
      </c>
      <c r="E110">
        <v>4</v>
      </c>
      <c r="F110">
        <v>0.999</v>
      </c>
      <c r="H110">
        <v>0</v>
      </c>
    </row>
    <row r="111" spans="4:8">
      <c r="D111">
        <v>25</v>
      </c>
      <c r="E111">
        <v>4.2</v>
      </c>
      <c r="F111">
        <v>0.98599999999999999</v>
      </c>
      <c r="H111">
        <v>0</v>
      </c>
    </row>
    <row r="112" spans="4:8">
      <c r="D112">
        <v>25</v>
      </c>
      <c r="E112">
        <v>4.5</v>
      </c>
      <c r="F112">
        <v>0.97399999999999998</v>
      </c>
      <c r="H112">
        <v>0</v>
      </c>
    </row>
    <row r="113" spans="4:8">
      <c r="D113">
        <v>25</v>
      </c>
      <c r="E113">
        <v>9</v>
      </c>
      <c r="F113">
        <v>0.999</v>
      </c>
      <c r="H113">
        <v>0</v>
      </c>
    </row>
    <row r="114" spans="4:8">
      <c r="D114">
        <v>30</v>
      </c>
      <c r="E114">
        <v>8.6</v>
      </c>
      <c r="F114">
        <v>0.999</v>
      </c>
      <c r="H114">
        <v>0</v>
      </c>
    </row>
    <row r="115" spans="4:8">
      <c r="D115">
        <v>38</v>
      </c>
      <c r="E115">
        <v>7.6</v>
      </c>
      <c r="F115">
        <v>0.999</v>
      </c>
      <c r="H115">
        <v>0</v>
      </c>
    </row>
    <row r="117" spans="4:8">
      <c r="D117" s="2" t="s">
        <v>236</v>
      </c>
    </row>
    <row r="118" spans="4:8">
      <c r="D118" s="2">
        <v>1</v>
      </c>
      <c r="E118" s="2">
        <v>6.06</v>
      </c>
      <c r="F118" s="2">
        <v>1</v>
      </c>
      <c r="H118" s="2">
        <v>100</v>
      </c>
    </row>
    <row r="119" spans="4:8">
      <c r="D119" s="2">
        <v>-5</v>
      </c>
      <c r="E119" s="2">
        <v>11</v>
      </c>
      <c r="F119" s="2">
        <v>1</v>
      </c>
      <c r="H119" s="2">
        <v>100</v>
      </c>
    </row>
    <row r="120" spans="4:8">
      <c r="D120" s="2">
        <v>55</v>
      </c>
      <c r="E120" s="2">
        <v>3.5</v>
      </c>
      <c r="F120" s="2">
        <v>1</v>
      </c>
      <c r="H120" s="2">
        <v>100</v>
      </c>
    </row>
    <row r="121" spans="4:8">
      <c r="D121" s="2">
        <v>55</v>
      </c>
      <c r="E121" s="2">
        <v>3.5</v>
      </c>
      <c r="F121" s="2">
        <v>0.9</v>
      </c>
      <c r="H121" s="2">
        <v>100</v>
      </c>
    </row>
    <row r="122" spans="4:8">
      <c r="D122" s="2">
        <v>-5</v>
      </c>
      <c r="E122" s="2">
        <v>3.5</v>
      </c>
      <c r="F122" s="2">
        <v>1</v>
      </c>
      <c r="H122" s="2">
        <v>0</v>
      </c>
    </row>
    <row r="123" spans="4:8">
      <c r="D123" s="2">
        <v>-5</v>
      </c>
      <c r="E123" s="2">
        <v>11</v>
      </c>
      <c r="F123" s="2">
        <v>1</v>
      </c>
      <c r="H123" s="2">
        <v>0</v>
      </c>
    </row>
    <row r="124" spans="4:8">
      <c r="D124" s="2">
        <v>55</v>
      </c>
      <c r="E124" s="2">
        <v>3.5</v>
      </c>
      <c r="F124" s="2">
        <v>0.9</v>
      </c>
      <c r="H124" s="2">
        <v>0</v>
      </c>
    </row>
    <row r="125" spans="4:8">
      <c r="D125" s="2">
        <v>55</v>
      </c>
      <c r="E125" s="2">
        <v>11</v>
      </c>
      <c r="F125" s="2">
        <v>1</v>
      </c>
      <c r="H125" s="2">
        <v>0</v>
      </c>
    </row>
    <row r="126" spans="4:8">
      <c r="D126" s="2">
        <v>0</v>
      </c>
      <c r="E126" s="2">
        <v>6</v>
      </c>
      <c r="F126" s="2">
        <v>0.95699999999999996</v>
      </c>
      <c r="H126" s="2">
        <v>0</v>
      </c>
    </row>
    <row r="127" spans="4:8">
      <c r="D127" s="2">
        <v>12</v>
      </c>
      <c r="E127" s="2">
        <v>11</v>
      </c>
      <c r="F127" s="2">
        <v>0.93100000000000005</v>
      </c>
      <c r="H127" s="2">
        <v>0</v>
      </c>
    </row>
    <row r="128" spans="4:8">
      <c r="D128" s="2">
        <v>54</v>
      </c>
      <c r="E128" s="2">
        <v>4.5</v>
      </c>
      <c r="F128" s="2">
        <v>1</v>
      </c>
      <c r="H128" s="2">
        <v>0</v>
      </c>
    </row>
  </sheetData>
  <phoneticPr fontId="0" type="noConversion"/>
  <printOptions gridLines="1" gridLinesSet="0"/>
  <pageMargins left="0.75" right="0.75" top="1" bottom="1" header="0.5" footer="0.5"/>
  <pageSetup paperSize="9" orientation="portrait" horizontalDpi="4294967292" r:id="rId1"/>
  <headerFooter alignWithMargins="0">
    <oddHeader>&amp;A</oddHeader>
    <oddFooter>Page &amp;P</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O106"/>
  <sheetViews>
    <sheetView workbookViewId="0">
      <selection activeCell="E28" sqref="E28"/>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Orgs!B27</f>
        <v>Yersinia enterocolitica + Acetic</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EXP(-2.9)</f>
        <v>5.5023220056407231E-2</v>
      </c>
      <c r="D3" s="30">
        <v>20</v>
      </c>
      <c r="E3" s="30">
        <v>7</v>
      </c>
      <c r="F3" s="32" t="s">
        <v>201</v>
      </c>
      <c r="G3" s="30">
        <v>0.5</v>
      </c>
      <c r="H3" s="30"/>
      <c r="I3" s="30"/>
      <c r="J3" s="30">
        <v>0</v>
      </c>
      <c r="K3" s="30"/>
      <c r="L3" s="30"/>
      <c r="M3" s="30"/>
      <c r="N3" s="30"/>
      <c r="O3" s="33"/>
    </row>
    <row r="4" spans="1:15">
      <c r="A4" s="29" t="s">
        <v>202</v>
      </c>
      <c r="B4" s="30"/>
      <c r="C4" s="34"/>
      <c r="D4" s="30">
        <v>0</v>
      </c>
      <c r="E4" s="30">
        <v>4.4000000000000004</v>
      </c>
      <c r="F4" s="30"/>
      <c r="G4" s="30">
        <v>0</v>
      </c>
      <c r="H4" s="30"/>
      <c r="I4" s="30"/>
      <c r="J4" s="30">
        <v>0</v>
      </c>
      <c r="K4" s="30"/>
      <c r="L4" s="30"/>
      <c r="M4" s="30"/>
      <c r="N4" s="30"/>
      <c r="O4" s="33"/>
    </row>
    <row r="5" spans="1:15" ht="13.5" thickBot="1">
      <c r="A5" s="35" t="s">
        <v>203</v>
      </c>
      <c r="B5" s="36"/>
      <c r="C5" s="37"/>
      <c r="D5" s="36">
        <v>30</v>
      </c>
      <c r="E5" s="36">
        <v>7.1</v>
      </c>
      <c r="F5" s="36"/>
      <c r="G5" s="36">
        <v>7</v>
      </c>
      <c r="H5" s="36"/>
      <c r="I5" s="36"/>
      <c r="J5" s="36">
        <v>5127</v>
      </c>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211</v>
      </c>
      <c r="I8" s="36" t="s">
        <v>211</v>
      </c>
      <c r="J8" s="36" t="s">
        <v>256</v>
      </c>
      <c r="K8" s="36" t="s">
        <v>211</v>
      </c>
      <c r="L8" s="36" t="s">
        <v>211</v>
      </c>
      <c r="M8" s="36" t="s">
        <v>211</v>
      </c>
      <c r="N8" s="36" t="s">
        <v>211</v>
      </c>
      <c r="O8" s="38" t="s">
        <v>211</v>
      </c>
    </row>
    <row r="9" spans="1:15" ht="13.5" thickBot="1">
      <c r="A9" s="2" t="s">
        <v>212</v>
      </c>
      <c r="D9" s="2">
        <v>4</v>
      </c>
      <c r="E9" s="2">
        <v>1</v>
      </c>
      <c r="F9" s="2">
        <v>1.4999999999999999E-2</v>
      </c>
      <c r="J9" s="2">
        <v>600</v>
      </c>
    </row>
    <row r="10" spans="1:15" ht="14.25">
      <c r="A10" s="39"/>
      <c r="B10" s="53" t="s">
        <v>213</v>
      </c>
      <c r="C10" s="27"/>
      <c r="D10" s="27"/>
      <c r="E10" s="43"/>
      <c r="F10" s="43"/>
      <c r="G10" s="44"/>
      <c r="H10" s="56" t="s">
        <v>214</v>
      </c>
      <c r="I10" s="45"/>
    </row>
    <row r="11" spans="1:15">
      <c r="A11" s="29" t="s">
        <v>215</v>
      </c>
      <c r="B11" s="32"/>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amp;B24&amp;"*("&amp;C24&amp;")+"&amp;B25&amp;"*("&amp;C25&amp;")+"&amp;B26&amp;"*("&amp;C26&amp;")+"&amp;B27&amp;"*("&amp;C27&amp;")+"&amp;B28&amp;"*("&amp;C28&amp;"))"</f>
        <v xml:space="preserve"> =EXP(1*(-12.92)+tr*(0.2053)+pr*(2.714)+bw*(11.64)+tr*pr*(-0.004835)+tr*bw*(0.06621)+pr*bw*(-0.3789)+tr^2*(-0.002438)+pr^2*(-0.1908)+bw^2*(-96.19)+aar*(0.0005398)+tr*aar*(0.00001247)+pr*aar*(0.001284)+bw*aar*(-0.1883)+aar^2*(-0.00000002594))</v>
      </c>
      <c r="C12" s="49"/>
      <c r="D12" s="50"/>
      <c r="E12" s="49"/>
      <c r="F12" s="50"/>
      <c r="G12" s="51"/>
      <c r="H12" s="36">
        <f>19.11/2.3</f>
        <v>8.3086956521739133</v>
      </c>
      <c r="I12" s="38"/>
    </row>
    <row r="14" spans="1:15">
      <c r="A14" s="1">
        <v>1</v>
      </c>
      <c r="B14" s="24">
        <v>1</v>
      </c>
      <c r="C14" s="54">
        <v>-12.92</v>
      </c>
    </row>
    <row r="15" spans="1:15">
      <c r="A15" s="1">
        <v>20</v>
      </c>
      <c r="B15" s="24" t="s">
        <v>45</v>
      </c>
      <c r="C15" s="54">
        <v>0.20530000000000001</v>
      </c>
    </row>
    <row r="16" spans="1:15">
      <c r="A16" s="1">
        <v>7</v>
      </c>
      <c r="B16" s="24" t="s">
        <v>46</v>
      </c>
      <c r="C16" s="54">
        <v>2.714</v>
      </c>
    </row>
    <row r="17" spans="1:10">
      <c r="A17" s="1">
        <v>0.5</v>
      </c>
      <c r="B17" s="24" t="s">
        <v>47</v>
      </c>
      <c r="C17" s="54">
        <v>11.64</v>
      </c>
    </row>
    <row r="18" spans="1:10">
      <c r="A18" s="1">
        <f>A$15*A$16</f>
        <v>140</v>
      </c>
      <c r="B18" s="24" t="s">
        <v>222</v>
      </c>
      <c r="C18" s="54">
        <v>-4.8349999999999999E-3</v>
      </c>
    </row>
    <row r="19" spans="1:10">
      <c r="A19" s="1">
        <f>A$15*A$17</f>
        <v>10</v>
      </c>
      <c r="B19" s="24" t="s">
        <v>225</v>
      </c>
      <c r="C19" s="54">
        <v>6.6210000000000005E-2</v>
      </c>
    </row>
    <row r="20" spans="1:10">
      <c r="A20" s="1">
        <f>A$16*A$17</f>
        <v>3.5</v>
      </c>
      <c r="B20" s="24" t="s">
        <v>227</v>
      </c>
      <c r="C20" s="54">
        <v>-0.37890000000000001</v>
      </c>
    </row>
    <row r="21" spans="1:10">
      <c r="A21" s="1">
        <f>A$15^2</f>
        <v>400</v>
      </c>
      <c r="B21" s="24" t="s">
        <v>229</v>
      </c>
      <c r="C21" s="54">
        <v>-2.4380000000000001E-3</v>
      </c>
    </row>
    <row r="22" spans="1:10">
      <c r="A22" s="1">
        <f>A$16^2</f>
        <v>49</v>
      </c>
      <c r="B22" s="24" t="s">
        <v>231</v>
      </c>
      <c r="C22" s="54">
        <v>-0.1908</v>
      </c>
    </row>
    <row r="23" spans="1:10">
      <c r="A23" s="1">
        <f>A$17^2</f>
        <v>0.25</v>
      </c>
      <c r="B23" s="24" t="s">
        <v>233</v>
      </c>
      <c r="C23" s="54">
        <v>-96.19</v>
      </c>
    </row>
    <row r="24" spans="1:10">
      <c r="A24" s="1">
        <v>20</v>
      </c>
      <c r="B24" s="24" t="s">
        <v>51</v>
      </c>
      <c r="C24" s="54">
        <v>5.398E-4</v>
      </c>
    </row>
    <row r="25" spans="1:10">
      <c r="A25" s="1">
        <f>A$15*A$24</f>
        <v>400</v>
      </c>
      <c r="B25" s="24" t="s">
        <v>257</v>
      </c>
      <c r="C25" s="54">
        <v>1.2469999999999999E-5</v>
      </c>
    </row>
    <row r="26" spans="1:10">
      <c r="A26" s="1">
        <f>A$16*A$24</f>
        <v>140</v>
      </c>
      <c r="B26" s="24" t="s">
        <v>258</v>
      </c>
      <c r="C26" s="54">
        <v>1.284E-3</v>
      </c>
    </row>
    <row r="27" spans="1:10">
      <c r="A27" s="1">
        <f>A$17*A$24</f>
        <v>10</v>
      </c>
      <c r="B27" s="24" t="s">
        <v>259</v>
      </c>
      <c r="C27" s="54">
        <v>-0.1883</v>
      </c>
    </row>
    <row r="28" spans="1:10">
      <c r="A28" s="1">
        <f>A$24^2</f>
        <v>400</v>
      </c>
      <c r="B28" s="24" t="s">
        <v>260</v>
      </c>
      <c r="C28" s="54">
        <v>-2.5939999999999999E-8</v>
      </c>
    </row>
    <row r="30" spans="1:10">
      <c r="D30" s="124" t="s">
        <v>234</v>
      </c>
    </row>
    <row r="31" spans="1:10">
      <c r="D31">
        <v>0</v>
      </c>
      <c r="E31">
        <v>5.5</v>
      </c>
      <c r="F31">
        <v>0.995</v>
      </c>
      <c r="J31">
        <v>0</v>
      </c>
    </row>
    <row r="32" spans="1:10">
      <c r="D32">
        <v>7</v>
      </c>
      <c r="E32">
        <v>6.5</v>
      </c>
      <c r="F32">
        <v>0.96399999999999997</v>
      </c>
      <c r="J32">
        <v>0</v>
      </c>
    </row>
    <row r="33" spans="4:10">
      <c r="D33">
        <v>0</v>
      </c>
      <c r="E33">
        <v>5.5</v>
      </c>
      <c r="F33">
        <v>0.98899999999999999</v>
      </c>
      <c r="J33">
        <v>0</v>
      </c>
    </row>
    <row r="34" spans="4:10">
      <c r="D34">
        <v>10</v>
      </c>
      <c r="E34">
        <v>7</v>
      </c>
      <c r="F34">
        <v>0.95699999999999996</v>
      </c>
      <c r="J34">
        <v>0</v>
      </c>
    </row>
    <row r="35" spans="4:10">
      <c r="D35">
        <v>0</v>
      </c>
      <c r="E35">
        <v>6</v>
      </c>
      <c r="F35">
        <v>0.999</v>
      </c>
      <c r="J35">
        <v>0</v>
      </c>
    </row>
    <row r="36" spans="4:10">
      <c r="D36">
        <v>15</v>
      </c>
      <c r="E36">
        <v>6.5</v>
      </c>
      <c r="F36">
        <v>0.95699999999999996</v>
      </c>
      <c r="J36">
        <v>0</v>
      </c>
    </row>
    <row r="37" spans="4:10">
      <c r="D37">
        <v>20</v>
      </c>
      <c r="E37">
        <v>7</v>
      </c>
      <c r="F37">
        <v>0.95699999999999996</v>
      </c>
      <c r="J37">
        <v>0</v>
      </c>
    </row>
    <row r="38" spans="4:10">
      <c r="D38">
        <v>30</v>
      </c>
      <c r="E38">
        <v>5</v>
      </c>
      <c r="F38">
        <v>0.999</v>
      </c>
      <c r="J38">
        <v>0</v>
      </c>
    </row>
    <row r="39" spans="4:10">
      <c r="D39">
        <v>0</v>
      </c>
      <c r="E39">
        <v>6.5</v>
      </c>
      <c r="F39">
        <v>0.97699999999999998</v>
      </c>
      <c r="J39">
        <v>0</v>
      </c>
    </row>
    <row r="40" spans="4:10">
      <c r="D40">
        <v>30</v>
      </c>
      <c r="E40">
        <v>7</v>
      </c>
      <c r="F40">
        <v>0.999</v>
      </c>
      <c r="J40">
        <v>0</v>
      </c>
    </row>
    <row r="41" spans="4:10">
      <c r="D41">
        <v>0</v>
      </c>
      <c r="E41">
        <v>7</v>
      </c>
      <c r="F41">
        <v>0.999</v>
      </c>
      <c r="J41">
        <v>0</v>
      </c>
    </row>
    <row r="42" spans="4:10">
      <c r="D42">
        <v>0</v>
      </c>
      <c r="E42">
        <v>7</v>
      </c>
      <c r="F42">
        <v>0.97699999999999998</v>
      </c>
      <c r="J42">
        <v>0</v>
      </c>
    </row>
    <row r="43" spans="4:10">
      <c r="D43">
        <v>10</v>
      </c>
      <c r="E43">
        <v>6</v>
      </c>
      <c r="F43">
        <v>0.96099999999999997</v>
      </c>
      <c r="J43">
        <v>0</v>
      </c>
    </row>
    <row r="44" spans="4:10">
      <c r="D44">
        <v>30</v>
      </c>
      <c r="E44">
        <v>5.5</v>
      </c>
      <c r="F44">
        <v>0.97399999999999998</v>
      </c>
      <c r="J44">
        <v>0</v>
      </c>
    </row>
    <row r="45" spans="4:10">
      <c r="D45">
        <v>15</v>
      </c>
      <c r="E45">
        <v>6</v>
      </c>
      <c r="F45">
        <v>0.96099999999999997</v>
      </c>
      <c r="J45">
        <v>0</v>
      </c>
    </row>
    <row r="46" spans="4:10">
      <c r="D46">
        <v>10</v>
      </c>
      <c r="E46">
        <v>5</v>
      </c>
      <c r="F46">
        <v>0.97399999999999998</v>
      </c>
      <c r="J46">
        <v>0</v>
      </c>
    </row>
    <row r="47" spans="4:10">
      <c r="D47">
        <v>25</v>
      </c>
      <c r="E47">
        <v>4.5</v>
      </c>
      <c r="F47">
        <v>0.999</v>
      </c>
      <c r="J47">
        <v>0</v>
      </c>
    </row>
    <row r="48" spans="4:10">
      <c r="D48">
        <v>30</v>
      </c>
      <c r="E48">
        <v>4.8</v>
      </c>
      <c r="F48">
        <v>0.999</v>
      </c>
      <c r="J48">
        <v>0</v>
      </c>
    </row>
    <row r="49" spans="4:10">
      <c r="D49">
        <v>30</v>
      </c>
      <c r="E49">
        <v>7</v>
      </c>
      <c r="F49">
        <v>0.97399999999999998</v>
      </c>
      <c r="J49">
        <v>0</v>
      </c>
    </row>
    <row r="50" spans="4:10">
      <c r="D50">
        <v>4</v>
      </c>
      <c r="E50">
        <v>4.8</v>
      </c>
      <c r="F50">
        <v>0.999</v>
      </c>
      <c r="J50">
        <v>0</v>
      </c>
    </row>
    <row r="51" spans="4:10">
      <c r="D51">
        <v>8</v>
      </c>
      <c r="E51">
        <v>4.4000000000000004</v>
      </c>
      <c r="F51">
        <v>0.999</v>
      </c>
      <c r="J51">
        <v>0</v>
      </c>
    </row>
    <row r="52" spans="4:10">
      <c r="D52">
        <v>20</v>
      </c>
      <c r="E52">
        <v>4.4000000000000004</v>
      </c>
      <c r="F52">
        <v>0.999</v>
      </c>
      <c r="J52">
        <v>0</v>
      </c>
    </row>
    <row r="53" spans="4:10">
      <c r="D53">
        <v>25</v>
      </c>
      <c r="E53">
        <v>4.5999999999999996</v>
      </c>
      <c r="F53">
        <v>0.98599999999999999</v>
      </c>
      <c r="J53">
        <v>0</v>
      </c>
    </row>
    <row r="54" spans="4:10">
      <c r="D54">
        <v>25</v>
      </c>
      <c r="E54">
        <v>5.0999999999999996</v>
      </c>
      <c r="F54">
        <v>0.97399999999999998</v>
      </c>
      <c r="J54">
        <v>0</v>
      </c>
    </row>
    <row r="55" spans="4:10">
      <c r="D55">
        <v>30</v>
      </c>
      <c r="E55">
        <v>4.7</v>
      </c>
      <c r="F55">
        <v>0.98599999999999999</v>
      </c>
      <c r="J55">
        <v>0</v>
      </c>
    </row>
    <row r="56" spans="4:10">
      <c r="D56">
        <v>30</v>
      </c>
      <c r="E56">
        <v>6</v>
      </c>
      <c r="F56">
        <v>0.96699999999999997</v>
      </c>
      <c r="J56">
        <v>0</v>
      </c>
    </row>
    <row r="57" spans="4:10">
      <c r="D57">
        <v>4</v>
      </c>
      <c r="E57">
        <v>5.5</v>
      </c>
      <c r="F57">
        <v>0.999</v>
      </c>
      <c r="J57">
        <v>0</v>
      </c>
    </row>
    <row r="58" spans="4:10">
      <c r="D58">
        <v>5</v>
      </c>
      <c r="E58">
        <v>5</v>
      </c>
      <c r="F58">
        <v>0.98399999999999999</v>
      </c>
      <c r="J58">
        <v>0</v>
      </c>
    </row>
    <row r="59" spans="4:10">
      <c r="D59">
        <v>20</v>
      </c>
      <c r="E59">
        <v>7</v>
      </c>
      <c r="F59">
        <v>0.999</v>
      </c>
      <c r="J59">
        <v>4000</v>
      </c>
    </row>
    <row r="60" spans="4:10">
      <c r="D60">
        <v>4</v>
      </c>
      <c r="E60">
        <v>7.1</v>
      </c>
      <c r="F60">
        <v>0.999</v>
      </c>
      <c r="J60">
        <v>4000</v>
      </c>
    </row>
    <row r="61" spans="4:10">
      <c r="D61">
        <v>12</v>
      </c>
      <c r="E61">
        <v>7.1</v>
      </c>
      <c r="F61">
        <v>0.999</v>
      </c>
      <c r="J61">
        <v>5127.1000000000004</v>
      </c>
    </row>
    <row r="63" spans="4:10">
      <c r="D63" s="2" t="s">
        <v>235</v>
      </c>
    </row>
    <row r="64" spans="4:10">
      <c r="D64">
        <v>37</v>
      </c>
      <c r="E64">
        <v>6.5</v>
      </c>
      <c r="F64">
        <v>0.95699999999999996</v>
      </c>
      <c r="J64">
        <v>0</v>
      </c>
    </row>
    <row r="65" spans="4:10">
      <c r="D65">
        <v>37</v>
      </c>
      <c r="E65">
        <v>7</v>
      </c>
      <c r="F65">
        <v>0.95699999999999996</v>
      </c>
      <c r="J65">
        <v>0</v>
      </c>
    </row>
    <row r="66" spans="4:10">
      <c r="D66">
        <v>37</v>
      </c>
      <c r="E66">
        <v>6</v>
      </c>
      <c r="F66">
        <v>0.96099999999999997</v>
      </c>
      <c r="J66">
        <v>0</v>
      </c>
    </row>
    <row r="67" spans="4:10">
      <c r="D67">
        <v>37</v>
      </c>
      <c r="E67">
        <v>5</v>
      </c>
      <c r="F67">
        <v>0.97399999999999998</v>
      </c>
      <c r="J67">
        <v>0</v>
      </c>
    </row>
    <row r="68" spans="4:10">
      <c r="D68">
        <v>37</v>
      </c>
      <c r="E68">
        <v>4.4000000000000004</v>
      </c>
      <c r="F68">
        <v>0.999</v>
      </c>
      <c r="J68">
        <v>0</v>
      </c>
    </row>
    <row r="69" spans="4:10">
      <c r="D69">
        <v>37</v>
      </c>
      <c r="E69">
        <v>4.5999999999999996</v>
      </c>
      <c r="F69">
        <v>0.98599999999999999</v>
      </c>
      <c r="J69">
        <v>0</v>
      </c>
    </row>
    <row r="70" spans="4:10">
      <c r="D70">
        <v>4</v>
      </c>
      <c r="E70">
        <v>7</v>
      </c>
      <c r="F70">
        <v>0.999</v>
      </c>
      <c r="J70">
        <v>4000</v>
      </c>
    </row>
    <row r="71" spans="4:10">
      <c r="D71">
        <v>37</v>
      </c>
      <c r="E71">
        <v>7</v>
      </c>
      <c r="F71">
        <v>0.999</v>
      </c>
      <c r="J71">
        <v>5127.1000000000004</v>
      </c>
    </row>
    <row r="72" spans="4:10">
      <c r="D72">
        <v>37</v>
      </c>
      <c r="E72">
        <v>7.1</v>
      </c>
      <c r="F72">
        <v>0.999</v>
      </c>
      <c r="J72">
        <v>5127.1000000000004</v>
      </c>
    </row>
    <row r="73" spans="4:10">
      <c r="D73">
        <v>12</v>
      </c>
      <c r="E73">
        <v>7</v>
      </c>
      <c r="F73">
        <v>0.999</v>
      </c>
      <c r="J73">
        <v>5127.1000000000004</v>
      </c>
    </row>
    <row r="74" spans="4:10">
      <c r="D74">
        <v>12</v>
      </c>
      <c r="E74">
        <v>7.1</v>
      </c>
      <c r="F74">
        <v>0.999</v>
      </c>
      <c r="J74">
        <v>5127.1000000000004</v>
      </c>
    </row>
    <row r="75" spans="4:10">
      <c r="D75">
        <v>4</v>
      </c>
      <c r="E75">
        <v>7.1</v>
      </c>
      <c r="F75">
        <v>0.999</v>
      </c>
      <c r="J75">
        <v>4000</v>
      </c>
    </row>
    <row r="76" spans="4:10">
      <c r="D76">
        <v>-2</v>
      </c>
      <c r="E76">
        <v>6</v>
      </c>
      <c r="F76">
        <v>0.999</v>
      </c>
      <c r="J76">
        <v>0</v>
      </c>
    </row>
    <row r="77" spans="4:10">
      <c r="D77">
        <v>-1</v>
      </c>
      <c r="E77">
        <v>7.2</v>
      </c>
      <c r="F77">
        <v>0.999</v>
      </c>
      <c r="J77">
        <v>0</v>
      </c>
    </row>
    <row r="78" spans="4:10">
      <c r="D78">
        <v>0</v>
      </c>
      <c r="E78">
        <v>5.5</v>
      </c>
      <c r="F78">
        <v>0.96399999999999997</v>
      </c>
      <c r="J78">
        <v>0</v>
      </c>
    </row>
    <row r="79" spans="4:10">
      <c r="D79">
        <v>0</v>
      </c>
      <c r="E79">
        <v>6</v>
      </c>
      <c r="F79">
        <v>0.96399999999999997</v>
      </c>
      <c r="J79">
        <v>0</v>
      </c>
    </row>
    <row r="80" spans="4:10">
      <c r="D80">
        <v>0</v>
      </c>
      <c r="E80">
        <v>6.7</v>
      </c>
      <c r="F80">
        <v>0.999</v>
      </c>
      <c r="J80">
        <v>0</v>
      </c>
    </row>
    <row r="81" spans="4:10">
      <c r="D81">
        <v>0</v>
      </c>
      <c r="E81">
        <v>7</v>
      </c>
      <c r="F81">
        <v>0.97099999999999997</v>
      </c>
      <c r="J81">
        <v>0</v>
      </c>
    </row>
    <row r="82" spans="4:10">
      <c r="D82">
        <v>2</v>
      </c>
      <c r="E82">
        <v>4.5</v>
      </c>
      <c r="F82">
        <v>0.999</v>
      </c>
      <c r="J82">
        <v>0</v>
      </c>
    </row>
    <row r="83" spans="4:10">
      <c r="D83">
        <v>2</v>
      </c>
      <c r="E83">
        <v>9.1</v>
      </c>
      <c r="F83">
        <v>0.999</v>
      </c>
      <c r="J83">
        <v>0</v>
      </c>
    </row>
    <row r="84" spans="4:10">
      <c r="D84">
        <v>4</v>
      </c>
      <c r="E84">
        <v>4.4000000000000004</v>
      </c>
      <c r="F84">
        <v>0.999</v>
      </c>
      <c r="J84">
        <v>0</v>
      </c>
    </row>
    <row r="85" spans="4:10">
      <c r="D85">
        <v>4</v>
      </c>
      <c r="E85">
        <v>7</v>
      </c>
      <c r="F85">
        <v>0.96099999999999997</v>
      </c>
      <c r="J85">
        <v>0</v>
      </c>
    </row>
    <row r="86" spans="4:10">
      <c r="D86">
        <v>10</v>
      </c>
      <c r="E86">
        <v>4.7</v>
      </c>
      <c r="F86">
        <v>0.98</v>
      </c>
      <c r="J86">
        <v>0</v>
      </c>
    </row>
    <row r="87" spans="4:10">
      <c r="D87">
        <v>12.8</v>
      </c>
      <c r="E87">
        <v>9.1</v>
      </c>
      <c r="F87">
        <v>0.999</v>
      </c>
      <c r="J87">
        <v>0</v>
      </c>
    </row>
    <row r="88" spans="4:10">
      <c r="D88">
        <v>20</v>
      </c>
      <c r="E88">
        <v>6.9</v>
      </c>
      <c r="F88">
        <v>0.93100000000000005</v>
      </c>
      <c r="J88">
        <v>0</v>
      </c>
    </row>
    <row r="89" spans="4:10">
      <c r="D89">
        <v>25</v>
      </c>
      <c r="E89">
        <v>4</v>
      </c>
      <c r="F89">
        <v>0.999</v>
      </c>
      <c r="J89">
        <v>0</v>
      </c>
    </row>
    <row r="90" spans="4:10">
      <c r="D90">
        <v>25</v>
      </c>
      <c r="E90">
        <v>4.2</v>
      </c>
      <c r="F90">
        <v>0.98599999999999999</v>
      </c>
      <c r="J90">
        <v>0</v>
      </c>
    </row>
    <row r="91" spans="4:10">
      <c r="D91">
        <v>25</v>
      </c>
      <c r="E91">
        <v>4.5</v>
      </c>
      <c r="F91">
        <v>0.97399999999999998</v>
      </c>
      <c r="J91">
        <v>0</v>
      </c>
    </row>
    <row r="92" spans="4:10">
      <c r="D92">
        <v>25</v>
      </c>
      <c r="E92">
        <v>9</v>
      </c>
      <c r="F92">
        <v>0.999</v>
      </c>
      <c r="J92">
        <v>0</v>
      </c>
    </row>
    <row r="93" spans="4:10">
      <c r="D93">
        <v>30</v>
      </c>
      <c r="E93">
        <v>8.6</v>
      </c>
      <c r="F93">
        <v>0.999</v>
      </c>
      <c r="J93">
        <v>0</v>
      </c>
    </row>
    <row r="94" spans="4:10">
      <c r="D94">
        <v>38</v>
      </c>
      <c r="E94">
        <v>7.6</v>
      </c>
      <c r="F94">
        <v>0.999</v>
      </c>
      <c r="J94">
        <v>0</v>
      </c>
    </row>
    <row r="95" spans="4:10">
      <c r="D95">
        <v>43</v>
      </c>
      <c r="E95">
        <v>7.2</v>
      </c>
      <c r="F95">
        <v>0.999</v>
      </c>
      <c r="J95">
        <v>0</v>
      </c>
    </row>
    <row r="97" spans="4:10">
      <c r="D97" s="2" t="s">
        <v>236</v>
      </c>
    </row>
    <row r="98" spans="4:10">
      <c r="D98" s="2">
        <v>-5</v>
      </c>
      <c r="E98" s="2">
        <v>3.5</v>
      </c>
      <c r="F98" s="2">
        <v>1</v>
      </c>
      <c r="J98" s="2">
        <v>0</v>
      </c>
    </row>
    <row r="99" spans="4:10">
      <c r="D99" s="2">
        <v>-5</v>
      </c>
      <c r="E99" s="2">
        <v>11</v>
      </c>
      <c r="F99" s="2">
        <v>1</v>
      </c>
      <c r="J99" s="2">
        <v>0</v>
      </c>
    </row>
    <row r="100" spans="4:10">
      <c r="D100" s="2">
        <v>50</v>
      </c>
      <c r="E100" s="2">
        <v>3.5</v>
      </c>
      <c r="F100" s="2">
        <v>0.9</v>
      </c>
      <c r="J100" s="2">
        <v>0</v>
      </c>
    </row>
    <row r="101" spans="4:10">
      <c r="D101" s="2">
        <v>50</v>
      </c>
      <c r="E101" s="2">
        <v>11</v>
      </c>
      <c r="F101" s="2">
        <v>1</v>
      </c>
      <c r="J101" s="2">
        <v>0</v>
      </c>
    </row>
    <row r="102" spans="4:10">
      <c r="D102" s="2">
        <v>50</v>
      </c>
      <c r="E102" s="2">
        <v>11</v>
      </c>
      <c r="F102" s="2">
        <v>0.9</v>
      </c>
      <c r="J102" s="2">
        <v>500000</v>
      </c>
    </row>
    <row r="103" spans="4:10">
      <c r="D103" s="2">
        <v>0</v>
      </c>
      <c r="E103" s="2">
        <v>6</v>
      </c>
      <c r="F103" s="2">
        <v>0.95699999999999996</v>
      </c>
      <c r="J103" s="2">
        <v>0</v>
      </c>
    </row>
    <row r="104" spans="4:10">
      <c r="D104" s="2">
        <v>12</v>
      </c>
      <c r="E104" s="2">
        <v>11</v>
      </c>
      <c r="F104" s="2">
        <v>0.93100000000000005</v>
      </c>
      <c r="J104" s="2">
        <v>0</v>
      </c>
    </row>
    <row r="105" spans="4:10">
      <c r="D105" s="2">
        <v>54</v>
      </c>
      <c r="E105" s="2">
        <v>4.5</v>
      </c>
      <c r="F105" s="2">
        <v>1</v>
      </c>
      <c r="J105" s="2">
        <v>0</v>
      </c>
    </row>
    <row r="106" spans="4:10">
      <c r="D106" s="2">
        <v>54</v>
      </c>
      <c r="E106" s="2">
        <v>5.0999999999999996</v>
      </c>
      <c r="F106" s="2">
        <v>0.94299999999999995</v>
      </c>
      <c r="J106" s="2">
        <v>0</v>
      </c>
    </row>
  </sheetData>
  <phoneticPr fontId="0" type="noConversion"/>
  <printOptions gridLines="1" gridLinesSet="0"/>
  <pageMargins left="0.75" right="0.75" top="1" bottom="1" header="0.5" footer="0.5"/>
  <pageSetup paperSize="9" orientation="portrait" horizontalDpi="4294967292" r:id="rId1"/>
  <headerFooter alignWithMargins="0">
    <oddHeader>&amp;A</oddHeader>
    <oddFooter>Page &amp;P</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Q123"/>
  <sheetViews>
    <sheetView workbookViewId="0">
      <selection activeCell="E32" sqref="E32"/>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Orgs!B26</f>
        <v>Yersinia enterocolitica + Lactic</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6">
        <f>EXP(-2.9)</f>
        <v>5.5023220056407231E-2</v>
      </c>
      <c r="D3" s="30">
        <v>20</v>
      </c>
      <c r="E3" s="30">
        <v>7</v>
      </c>
      <c r="F3" s="32" t="s">
        <v>201</v>
      </c>
      <c r="G3" s="30">
        <v>0.5</v>
      </c>
      <c r="H3" s="30"/>
      <c r="I3" s="30"/>
      <c r="J3" s="30"/>
      <c r="K3" s="30">
        <v>0</v>
      </c>
      <c r="L3" s="30"/>
      <c r="M3" s="30"/>
      <c r="N3" s="30"/>
      <c r="O3" s="33"/>
    </row>
    <row r="4" spans="1:15">
      <c r="A4" s="29" t="s">
        <v>202</v>
      </c>
      <c r="B4" s="30"/>
      <c r="C4" s="34"/>
      <c r="D4" s="30">
        <v>0</v>
      </c>
      <c r="E4" s="30">
        <v>4.4000000000000004</v>
      </c>
      <c r="F4" s="30"/>
      <c r="G4" s="30">
        <v>0</v>
      </c>
      <c r="H4" s="30"/>
      <c r="I4" s="30"/>
      <c r="J4" s="30"/>
      <c r="K4" s="30">
        <v>0</v>
      </c>
      <c r="L4" s="30"/>
      <c r="M4" s="30"/>
      <c r="N4" s="30"/>
      <c r="O4" s="33"/>
    </row>
    <row r="5" spans="1:15" ht="13.5" thickBot="1">
      <c r="A5" s="35" t="s">
        <v>203</v>
      </c>
      <c r="B5" s="36"/>
      <c r="C5" s="37"/>
      <c r="D5" s="36">
        <v>30</v>
      </c>
      <c r="E5" s="36">
        <v>7.1</v>
      </c>
      <c r="F5" s="36"/>
      <c r="G5" s="36">
        <v>7</v>
      </c>
      <c r="H5" s="36"/>
      <c r="I5" s="36"/>
      <c r="J5" s="36"/>
      <c r="K5" s="36">
        <v>10000</v>
      </c>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t="s">
        <v>211</v>
      </c>
      <c r="H8" s="36" t="s">
        <v>211</v>
      </c>
      <c r="I8" s="36" t="s">
        <v>211</v>
      </c>
      <c r="J8" s="36" t="s">
        <v>211</v>
      </c>
      <c r="K8" s="36" t="s">
        <v>251</v>
      </c>
      <c r="L8" s="36" t="s">
        <v>211</v>
      </c>
      <c r="M8" s="36" t="s">
        <v>211</v>
      </c>
      <c r="N8" s="36" t="s">
        <v>211</v>
      </c>
      <c r="O8" s="38" t="s">
        <v>211</v>
      </c>
    </row>
    <row r="9" spans="1:15" ht="13.5" thickBot="1">
      <c r="A9" s="2" t="s">
        <v>212</v>
      </c>
      <c r="D9" s="2">
        <v>4</v>
      </c>
      <c r="E9" s="2">
        <v>1</v>
      </c>
      <c r="F9" s="2">
        <v>1.4999999999999999E-2</v>
      </c>
      <c r="K9" s="2">
        <v>10000</v>
      </c>
    </row>
    <row r="10" spans="1:15" ht="14.25">
      <c r="A10" s="39"/>
      <c r="B10" s="53" t="s">
        <v>213</v>
      </c>
      <c r="C10" s="27"/>
      <c r="D10" s="27"/>
      <c r="E10" s="43"/>
      <c r="F10" s="43"/>
      <c r="G10" s="44"/>
      <c r="H10" s="56" t="s">
        <v>214</v>
      </c>
      <c r="I10" s="45"/>
    </row>
    <row r="11" spans="1:15">
      <c r="A11" s="29" t="s">
        <v>215</v>
      </c>
      <c r="B11" s="32"/>
      <c r="C11" s="46"/>
      <c r="D11" s="30"/>
      <c r="E11" s="30"/>
      <c r="F11" s="30"/>
      <c r="G11" s="47"/>
      <c r="H11" s="30"/>
      <c r="I11" s="33"/>
    </row>
    <row r="12" spans="1:15" ht="13.5" thickBot="1">
      <c r="A12" s="35" t="s">
        <v>239</v>
      </c>
      <c r="B12" s="48" t="str">
        <f>" =EXP("&amp;B14&amp;"*("&amp;C14&amp;")+"&amp;B15&amp;"*("&amp;C15&amp;")+"&amp;B16&amp;"*("&amp;C16&amp;")+"&amp;B17&amp;"*("&amp;C17&amp;")+"&amp;B18&amp;"*("&amp;C18&amp;")+"&amp;B19&amp;"*("&amp;C19&amp;")+"&amp;B20&amp;"*("&amp;C20&amp;")+"&amp;B21&amp;"*("&amp;C21&amp;")+"&amp;B22&amp;"*("&amp;C22&amp;")+"&amp;B23&amp;"*("&amp;C23&amp;")+"&amp;B24&amp;"*("&amp;C24&amp;")+"&amp;B25&amp;"*("&amp;C25&amp;")+"&amp;B26&amp;"*("&amp;C26&amp;")+"&amp;B27&amp;"*("&amp;C27&amp;")+"&amp;B28&amp;"*("&amp;C28&amp;"))"</f>
        <v xml:space="preserve"> =EXP(1*(-12.92)+tr*(0.2053)+pr*(2.714)+bw*(11.64)+tr*pr*(-0.004835)+tr*bw*(0.06621)+pr*bw*(-0.3789)+tr^2*(-0.002438)+pr^2*(-0.1908)+bw^2*(-96.19)+lar*(0.00002931)+tr*lar*(0.000002815)+pr*lar*(-0.00001961)+bw*lar*(0.001683)+lar^2*(-0.000000002704))</v>
      </c>
      <c r="C12" s="49"/>
      <c r="D12" s="50"/>
      <c r="E12" s="49"/>
      <c r="F12" s="50"/>
      <c r="G12" s="51"/>
      <c r="H12" s="36">
        <f>19.11/2.3</f>
        <v>8.3086956521739133</v>
      </c>
      <c r="I12" s="38"/>
    </row>
    <row r="14" spans="1:15">
      <c r="A14" s="1">
        <v>1</v>
      </c>
      <c r="B14" s="24">
        <v>1</v>
      </c>
      <c r="C14" s="54">
        <v>-12.92</v>
      </c>
    </row>
    <row r="15" spans="1:15">
      <c r="A15" s="1">
        <v>20</v>
      </c>
      <c r="B15" s="24" t="s">
        <v>45</v>
      </c>
      <c r="C15" s="54">
        <v>0.20530000000000001</v>
      </c>
    </row>
    <row r="16" spans="1:15">
      <c r="A16" s="1">
        <v>7</v>
      </c>
      <c r="B16" s="24" t="s">
        <v>46</v>
      </c>
      <c r="C16" s="54">
        <v>2.714</v>
      </c>
    </row>
    <row r="17" spans="1:11">
      <c r="A17" s="1">
        <v>0.5</v>
      </c>
      <c r="B17" s="24" t="s">
        <v>47</v>
      </c>
      <c r="C17" s="54">
        <v>11.64</v>
      </c>
    </row>
    <row r="18" spans="1:11">
      <c r="A18" s="1">
        <f>A$15*A$16</f>
        <v>140</v>
      </c>
      <c r="B18" s="24" t="s">
        <v>222</v>
      </c>
      <c r="C18" s="54">
        <v>-4.8349999999999999E-3</v>
      </c>
    </row>
    <row r="19" spans="1:11">
      <c r="A19" s="1">
        <f>A$15*A$17</f>
        <v>10</v>
      </c>
      <c r="B19" s="24" t="s">
        <v>225</v>
      </c>
      <c r="C19" s="54">
        <v>6.6210000000000005E-2</v>
      </c>
    </row>
    <row r="20" spans="1:11">
      <c r="A20" s="1">
        <f>A$16*A$17</f>
        <v>3.5</v>
      </c>
      <c r="B20" s="24" t="s">
        <v>227</v>
      </c>
      <c r="C20" s="54">
        <v>-0.37890000000000001</v>
      </c>
    </row>
    <row r="21" spans="1:11">
      <c r="A21" s="1">
        <f>A$15^2</f>
        <v>400</v>
      </c>
      <c r="B21" s="24" t="s">
        <v>229</v>
      </c>
      <c r="C21" s="54">
        <v>-2.4380000000000001E-3</v>
      </c>
    </row>
    <row r="22" spans="1:11">
      <c r="A22" s="1">
        <f>A$16^2</f>
        <v>49</v>
      </c>
      <c r="B22" s="24" t="s">
        <v>231</v>
      </c>
      <c r="C22" s="54">
        <v>-0.1908</v>
      </c>
    </row>
    <row r="23" spans="1:11">
      <c r="A23" s="1">
        <f>A$17^2</f>
        <v>0.25</v>
      </c>
      <c r="B23" s="24" t="s">
        <v>233</v>
      </c>
      <c r="C23" s="54">
        <v>-96.19</v>
      </c>
    </row>
    <row r="24" spans="1:11">
      <c r="A24" s="1">
        <v>20</v>
      </c>
      <c r="B24" s="24" t="s">
        <v>52</v>
      </c>
      <c r="C24" s="54">
        <v>2.9309999999999999E-5</v>
      </c>
      <c r="E24" s="54"/>
    </row>
    <row r="25" spans="1:11">
      <c r="A25" s="1">
        <f>A$15*A$24</f>
        <v>400</v>
      </c>
      <c r="B25" s="24" t="s">
        <v>252</v>
      </c>
      <c r="C25" s="54">
        <v>2.8150000000000002E-6</v>
      </c>
      <c r="E25" s="54"/>
    </row>
    <row r="26" spans="1:11">
      <c r="A26" s="1">
        <f>A$16*A$24</f>
        <v>140</v>
      </c>
      <c r="B26" s="24" t="s">
        <v>253</v>
      </c>
      <c r="C26" s="54">
        <v>-1.961E-5</v>
      </c>
      <c r="E26" s="54"/>
    </row>
    <row r="27" spans="1:11">
      <c r="A27" s="1">
        <f>A$17*A$24</f>
        <v>10</v>
      </c>
      <c r="B27" s="24" t="s">
        <v>254</v>
      </c>
      <c r="C27" s="54">
        <v>1.683E-3</v>
      </c>
      <c r="E27" s="54"/>
    </row>
    <row r="28" spans="1:11">
      <c r="A28" s="1">
        <f>A$24^2</f>
        <v>400</v>
      </c>
      <c r="B28" s="24" t="s">
        <v>255</v>
      </c>
      <c r="C28" s="54">
        <v>-2.7040000000000002E-9</v>
      </c>
      <c r="E28" s="54"/>
    </row>
    <row r="30" spans="1:11">
      <c r="D30" s="124" t="s">
        <v>234</v>
      </c>
    </row>
    <row r="31" spans="1:11">
      <c r="D31">
        <v>0</v>
      </c>
      <c r="E31">
        <v>5.5</v>
      </c>
      <c r="F31">
        <v>0.995</v>
      </c>
      <c r="K31">
        <v>0</v>
      </c>
    </row>
    <row r="32" spans="1:11">
      <c r="D32">
        <v>7</v>
      </c>
      <c r="E32">
        <v>6.5</v>
      </c>
      <c r="F32">
        <v>0.96399999999999997</v>
      </c>
      <c r="K32">
        <v>0</v>
      </c>
    </row>
    <row r="33" spans="4:11">
      <c r="D33">
        <v>0</v>
      </c>
      <c r="E33">
        <v>5.5</v>
      </c>
      <c r="F33">
        <v>0.98899999999999999</v>
      </c>
      <c r="K33">
        <v>0</v>
      </c>
    </row>
    <row r="34" spans="4:11">
      <c r="D34">
        <v>10</v>
      </c>
      <c r="E34">
        <v>7</v>
      </c>
      <c r="F34">
        <v>0.95699999999999996</v>
      </c>
      <c r="K34">
        <v>0</v>
      </c>
    </row>
    <row r="35" spans="4:11">
      <c r="D35">
        <v>0</v>
      </c>
      <c r="E35">
        <v>6</v>
      </c>
      <c r="F35">
        <v>0.999</v>
      </c>
      <c r="K35">
        <v>0</v>
      </c>
    </row>
    <row r="36" spans="4:11">
      <c r="D36">
        <v>15</v>
      </c>
      <c r="E36">
        <v>6.5</v>
      </c>
      <c r="F36">
        <v>0.95699999999999996</v>
      </c>
      <c r="K36">
        <v>0</v>
      </c>
    </row>
    <row r="37" spans="4:11">
      <c r="D37">
        <v>20</v>
      </c>
      <c r="E37">
        <v>7</v>
      </c>
      <c r="F37">
        <v>0.95699999999999996</v>
      </c>
      <c r="K37">
        <v>0</v>
      </c>
    </row>
    <row r="38" spans="4:11">
      <c r="D38">
        <v>30</v>
      </c>
      <c r="E38">
        <v>5</v>
      </c>
      <c r="F38">
        <v>0.999</v>
      </c>
      <c r="K38">
        <v>0</v>
      </c>
    </row>
    <row r="39" spans="4:11">
      <c r="D39">
        <v>0</v>
      </c>
      <c r="E39">
        <v>6.5</v>
      </c>
      <c r="F39">
        <v>0.97699999999999998</v>
      </c>
      <c r="K39">
        <v>0</v>
      </c>
    </row>
    <row r="40" spans="4:11">
      <c r="D40">
        <v>30</v>
      </c>
      <c r="E40">
        <v>7</v>
      </c>
      <c r="F40">
        <v>0.999</v>
      </c>
      <c r="K40">
        <v>0</v>
      </c>
    </row>
    <row r="41" spans="4:11">
      <c r="D41">
        <v>0</v>
      </c>
      <c r="E41">
        <v>7</v>
      </c>
      <c r="F41">
        <v>0.999</v>
      </c>
      <c r="K41">
        <v>0</v>
      </c>
    </row>
    <row r="42" spans="4:11">
      <c r="D42">
        <v>0</v>
      </c>
      <c r="E42">
        <v>7</v>
      </c>
      <c r="F42">
        <v>0.97699999999999998</v>
      </c>
      <c r="K42">
        <v>0</v>
      </c>
    </row>
    <row r="43" spans="4:11">
      <c r="D43">
        <v>10</v>
      </c>
      <c r="E43">
        <v>6</v>
      </c>
      <c r="F43">
        <v>0.96099999999999997</v>
      </c>
      <c r="K43">
        <v>0</v>
      </c>
    </row>
    <row r="44" spans="4:11">
      <c r="D44">
        <v>30</v>
      </c>
      <c r="E44">
        <v>5.5</v>
      </c>
      <c r="F44">
        <v>0.97399999999999998</v>
      </c>
      <c r="K44">
        <v>0</v>
      </c>
    </row>
    <row r="45" spans="4:11">
      <c r="D45">
        <v>15</v>
      </c>
      <c r="E45">
        <v>6</v>
      </c>
      <c r="F45">
        <v>0.96099999999999997</v>
      </c>
      <c r="K45">
        <v>0</v>
      </c>
    </row>
    <row r="46" spans="4:11">
      <c r="D46">
        <v>10</v>
      </c>
      <c r="E46">
        <v>5</v>
      </c>
      <c r="F46">
        <v>0.97399999999999998</v>
      </c>
      <c r="K46">
        <v>0</v>
      </c>
    </row>
    <row r="47" spans="4:11">
      <c r="D47">
        <v>25</v>
      </c>
      <c r="E47">
        <v>4.5</v>
      </c>
      <c r="F47">
        <v>0.999</v>
      </c>
      <c r="K47">
        <v>0</v>
      </c>
    </row>
    <row r="48" spans="4:11">
      <c r="D48">
        <v>30</v>
      </c>
      <c r="E48">
        <v>4.8</v>
      </c>
      <c r="F48">
        <v>0.999</v>
      </c>
      <c r="K48">
        <v>0</v>
      </c>
    </row>
    <row r="49" spans="4:11">
      <c r="D49">
        <v>30</v>
      </c>
      <c r="E49">
        <v>7</v>
      </c>
      <c r="F49">
        <v>0.97399999999999998</v>
      </c>
      <c r="K49">
        <v>0</v>
      </c>
    </row>
    <row r="50" spans="4:11">
      <c r="D50">
        <v>4</v>
      </c>
      <c r="E50">
        <v>4.8</v>
      </c>
      <c r="F50">
        <v>0.999</v>
      </c>
      <c r="K50">
        <v>0</v>
      </c>
    </row>
    <row r="51" spans="4:11">
      <c r="D51">
        <v>8</v>
      </c>
      <c r="E51">
        <v>4.4000000000000004</v>
      </c>
      <c r="F51">
        <v>0.999</v>
      </c>
      <c r="K51">
        <v>0</v>
      </c>
    </row>
    <row r="52" spans="4:11">
      <c r="D52">
        <v>20</v>
      </c>
      <c r="E52">
        <v>4.4000000000000004</v>
      </c>
      <c r="F52">
        <v>0.999</v>
      </c>
      <c r="K52">
        <v>0</v>
      </c>
    </row>
    <row r="53" spans="4:11">
      <c r="D53">
        <v>25</v>
      </c>
      <c r="E53">
        <v>4.5999999999999996</v>
      </c>
      <c r="F53">
        <v>0.98599999999999999</v>
      </c>
      <c r="K53">
        <v>0</v>
      </c>
    </row>
    <row r="54" spans="4:11">
      <c r="D54">
        <v>25</v>
      </c>
      <c r="E54">
        <v>5.0999999999999996</v>
      </c>
      <c r="F54">
        <v>0.97399999999999998</v>
      </c>
      <c r="K54">
        <v>0</v>
      </c>
    </row>
    <row r="55" spans="4:11">
      <c r="D55">
        <v>30</v>
      </c>
      <c r="E55">
        <v>4.7</v>
      </c>
      <c r="F55">
        <v>0.98599999999999999</v>
      </c>
      <c r="K55">
        <v>0</v>
      </c>
    </row>
    <row r="56" spans="4:11">
      <c r="D56">
        <v>30</v>
      </c>
      <c r="E56">
        <v>6</v>
      </c>
      <c r="F56">
        <v>0.96699999999999997</v>
      </c>
      <c r="K56">
        <v>0</v>
      </c>
    </row>
    <row r="57" spans="4:11">
      <c r="D57">
        <v>4</v>
      </c>
      <c r="E57">
        <v>5.5</v>
      </c>
      <c r="F57">
        <v>0.999</v>
      </c>
      <c r="K57">
        <v>0</v>
      </c>
    </row>
    <row r="58" spans="4:11">
      <c r="D58">
        <v>5</v>
      </c>
      <c r="E58">
        <v>5</v>
      </c>
      <c r="F58">
        <v>0.98399999999999999</v>
      </c>
      <c r="K58">
        <v>0</v>
      </c>
    </row>
    <row r="59" spans="4:11">
      <c r="D59">
        <v>12</v>
      </c>
      <c r="E59">
        <v>4.4000000000000004</v>
      </c>
      <c r="F59">
        <v>0.999</v>
      </c>
      <c r="K59">
        <v>500</v>
      </c>
    </row>
    <row r="60" spans="4:11">
      <c r="D60">
        <v>20</v>
      </c>
      <c r="E60">
        <v>4.4000000000000004</v>
      </c>
      <c r="F60">
        <v>0.999</v>
      </c>
      <c r="K60">
        <v>1000</v>
      </c>
    </row>
    <row r="61" spans="4:11">
      <c r="D61">
        <v>4</v>
      </c>
      <c r="E61">
        <v>4.8</v>
      </c>
      <c r="F61">
        <v>0.999</v>
      </c>
      <c r="K61">
        <v>2000</v>
      </c>
    </row>
    <row r="62" spans="4:11">
      <c r="D62">
        <v>4</v>
      </c>
      <c r="E62">
        <v>7</v>
      </c>
      <c r="F62">
        <v>0.97399999999999998</v>
      </c>
      <c r="K62">
        <v>4000</v>
      </c>
    </row>
    <row r="63" spans="4:11">
      <c r="D63">
        <v>20</v>
      </c>
      <c r="E63">
        <v>4.8</v>
      </c>
      <c r="F63">
        <v>0.999</v>
      </c>
      <c r="K63">
        <v>7500</v>
      </c>
    </row>
    <row r="64" spans="4:11">
      <c r="D64">
        <v>12</v>
      </c>
      <c r="E64">
        <v>4.8</v>
      </c>
      <c r="F64">
        <v>0.999</v>
      </c>
      <c r="K64">
        <v>7563.8</v>
      </c>
    </row>
    <row r="65" spans="4:17">
      <c r="D65">
        <v>8</v>
      </c>
      <c r="E65">
        <v>7</v>
      </c>
      <c r="F65">
        <v>0.999</v>
      </c>
      <c r="K65">
        <v>10000</v>
      </c>
    </row>
    <row r="66" spans="4:17">
      <c r="D66">
        <v>20</v>
      </c>
      <c r="E66">
        <v>7</v>
      </c>
      <c r="F66">
        <v>0.999</v>
      </c>
      <c r="K66">
        <v>10000</v>
      </c>
    </row>
    <row r="67" spans="4:17">
      <c r="D67">
        <v>4</v>
      </c>
      <c r="E67">
        <v>6</v>
      </c>
      <c r="F67">
        <v>0.999</v>
      </c>
      <c r="K67">
        <v>10000</v>
      </c>
    </row>
    <row r="68" spans="4:17">
      <c r="D68">
        <v>4</v>
      </c>
      <c r="E68">
        <v>5.5</v>
      </c>
      <c r="F68">
        <v>0.999</v>
      </c>
      <c r="K68">
        <v>10000</v>
      </c>
    </row>
    <row r="69" spans="4:17">
      <c r="D69">
        <v>20</v>
      </c>
      <c r="E69">
        <v>5.5</v>
      </c>
      <c r="F69">
        <v>0.999</v>
      </c>
      <c r="K69">
        <v>10000</v>
      </c>
    </row>
    <row r="70" spans="4:17">
      <c r="D70" s="133">
        <v>12</v>
      </c>
      <c r="E70" s="133">
        <v>7</v>
      </c>
      <c r="F70" s="133">
        <v>0.97399999999999998</v>
      </c>
      <c r="K70" s="134">
        <v>4000</v>
      </c>
    </row>
    <row r="72" spans="4:17">
      <c r="D72" s="2" t="s">
        <v>235</v>
      </c>
    </row>
    <row r="73" spans="4:17">
      <c r="D73">
        <v>37</v>
      </c>
      <c r="E73">
        <v>6.5</v>
      </c>
      <c r="F73">
        <v>0.95699999999999996</v>
      </c>
      <c r="K73">
        <v>0</v>
      </c>
      <c r="N73"/>
      <c r="O73"/>
      <c r="P73"/>
      <c r="Q73"/>
    </row>
    <row r="74" spans="4:17">
      <c r="D74">
        <v>37</v>
      </c>
      <c r="E74">
        <v>7</v>
      </c>
      <c r="F74">
        <v>0.95699999999999996</v>
      </c>
      <c r="K74">
        <v>0</v>
      </c>
      <c r="N74"/>
      <c r="O74"/>
      <c r="P74"/>
      <c r="Q74"/>
    </row>
    <row r="75" spans="4:17">
      <c r="D75">
        <v>37</v>
      </c>
      <c r="E75">
        <v>6</v>
      </c>
      <c r="F75">
        <v>0.96099999999999997</v>
      </c>
      <c r="K75">
        <v>0</v>
      </c>
      <c r="N75"/>
      <c r="O75"/>
      <c r="P75"/>
      <c r="Q75"/>
    </row>
    <row r="76" spans="4:17">
      <c r="D76">
        <v>37</v>
      </c>
      <c r="E76">
        <v>5</v>
      </c>
      <c r="F76">
        <v>0.97399999999999998</v>
      </c>
      <c r="K76">
        <v>0</v>
      </c>
      <c r="N76"/>
      <c r="O76"/>
      <c r="P76"/>
      <c r="Q76"/>
    </row>
    <row r="77" spans="4:17">
      <c r="D77">
        <v>37</v>
      </c>
      <c r="E77">
        <v>4.5999999999999996</v>
      </c>
      <c r="F77">
        <v>0.98599999999999999</v>
      </c>
      <c r="K77">
        <v>0</v>
      </c>
      <c r="N77"/>
      <c r="O77"/>
      <c r="P77"/>
      <c r="Q77"/>
    </row>
    <row r="78" spans="4:17">
      <c r="D78">
        <v>37</v>
      </c>
      <c r="E78">
        <v>4.4000000000000004</v>
      </c>
      <c r="F78">
        <v>0.999</v>
      </c>
      <c r="K78">
        <v>1000</v>
      </c>
      <c r="N78"/>
      <c r="O78"/>
      <c r="P78"/>
      <c r="Q78"/>
    </row>
    <row r="79" spans="4:17">
      <c r="D79">
        <v>37</v>
      </c>
      <c r="E79">
        <v>4.4000000000000004</v>
      </c>
      <c r="F79">
        <v>0.999</v>
      </c>
      <c r="K79">
        <v>0</v>
      </c>
      <c r="N79"/>
      <c r="O79"/>
      <c r="P79"/>
      <c r="Q79"/>
    </row>
    <row r="80" spans="4:17">
      <c r="D80">
        <v>37</v>
      </c>
      <c r="E80">
        <v>4.8</v>
      </c>
      <c r="F80">
        <v>0.999</v>
      </c>
      <c r="K80">
        <v>7563.8</v>
      </c>
      <c r="N80"/>
      <c r="O80"/>
      <c r="P80"/>
      <c r="Q80"/>
    </row>
    <row r="81" spans="4:17">
      <c r="D81">
        <v>37</v>
      </c>
      <c r="E81">
        <v>7</v>
      </c>
      <c r="F81">
        <v>0.999</v>
      </c>
      <c r="K81">
        <v>10000</v>
      </c>
      <c r="N81"/>
      <c r="O81"/>
      <c r="P81"/>
      <c r="Q81"/>
    </row>
    <row r="82" spans="4:17">
      <c r="D82">
        <v>37</v>
      </c>
      <c r="E82">
        <v>5.5</v>
      </c>
      <c r="F82">
        <v>0.999</v>
      </c>
      <c r="K82">
        <v>10000</v>
      </c>
      <c r="N82"/>
      <c r="O82"/>
      <c r="P82"/>
      <c r="Q82"/>
    </row>
    <row r="83" spans="4:17">
      <c r="D83">
        <v>-2</v>
      </c>
      <c r="E83">
        <v>6</v>
      </c>
      <c r="F83">
        <v>0.999</v>
      </c>
      <c r="K83">
        <v>0</v>
      </c>
      <c r="N83"/>
      <c r="O83"/>
      <c r="P83"/>
      <c r="Q83"/>
    </row>
    <row r="84" spans="4:17">
      <c r="D84">
        <v>-1</v>
      </c>
      <c r="E84">
        <v>7.2</v>
      </c>
      <c r="F84">
        <v>0.999</v>
      </c>
      <c r="K84">
        <v>0</v>
      </c>
      <c r="N84"/>
      <c r="O84"/>
      <c r="P84"/>
      <c r="Q84"/>
    </row>
    <row r="85" spans="4:17">
      <c r="D85">
        <v>0</v>
      </c>
      <c r="E85">
        <v>5.5</v>
      </c>
      <c r="F85">
        <v>0.96399999999999997</v>
      </c>
      <c r="K85">
        <v>0</v>
      </c>
      <c r="N85"/>
      <c r="O85"/>
      <c r="P85"/>
      <c r="Q85"/>
    </row>
    <row r="86" spans="4:17">
      <c r="D86">
        <v>0</v>
      </c>
      <c r="E86">
        <v>6</v>
      </c>
      <c r="F86">
        <v>0.96399999999999997</v>
      </c>
      <c r="K86">
        <v>0</v>
      </c>
      <c r="N86"/>
      <c r="O86"/>
      <c r="P86"/>
      <c r="Q86"/>
    </row>
    <row r="87" spans="4:17">
      <c r="D87">
        <v>0</v>
      </c>
      <c r="E87">
        <v>6.7</v>
      </c>
      <c r="F87">
        <v>0.999</v>
      </c>
      <c r="K87">
        <v>0</v>
      </c>
      <c r="N87"/>
      <c r="O87"/>
      <c r="P87"/>
      <c r="Q87"/>
    </row>
    <row r="88" spans="4:17">
      <c r="D88">
        <v>0</v>
      </c>
      <c r="E88">
        <v>7</v>
      </c>
      <c r="F88">
        <v>0.97099999999999997</v>
      </c>
      <c r="K88">
        <v>0</v>
      </c>
      <c r="N88"/>
      <c r="O88"/>
      <c r="P88"/>
      <c r="Q88"/>
    </row>
    <row r="89" spans="4:17">
      <c r="D89">
        <v>1</v>
      </c>
      <c r="E89">
        <v>5</v>
      </c>
      <c r="F89">
        <v>0.97399999999999998</v>
      </c>
      <c r="K89">
        <v>1000</v>
      </c>
      <c r="N89"/>
      <c r="O89"/>
      <c r="P89"/>
      <c r="Q89"/>
    </row>
    <row r="90" spans="4:17">
      <c r="D90">
        <v>1</v>
      </c>
      <c r="E90">
        <v>6</v>
      </c>
      <c r="F90">
        <v>0.999</v>
      </c>
      <c r="K90">
        <v>15000</v>
      </c>
      <c r="N90"/>
      <c r="O90"/>
      <c r="P90"/>
      <c r="Q90"/>
    </row>
    <row r="91" spans="4:17">
      <c r="D91">
        <v>1</v>
      </c>
      <c r="E91">
        <v>7</v>
      </c>
      <c r="F91">
        <v>0.999</v>
      </c>
      <c r="K91">
        <v>20000</v>
      </c>
      <c r="N91"/>
      <c r="O91"/>
      <c r="P91"/>
      <c r="Q91"/>
    </row>
    <row r="92" spans="4:17">
      <c r="D92">
        <v>1</v>
      </c>
      <c r="E92">
        <v>7.1</v>
      </c>
      <c r="F92">
        <v>0.97399999999999998</v>
      </c>
      <c r="K92">
        <v>4000</v>
      </c>
      <c r="N92"/>
      <c r="O92"/>
      <c r="P92"/>
      <c r="Q92"/>
    </row>
    <row r="93" spans="4:17">
      <c r="D93">
        <v>2</v>
      </c>
      <c r="E93">
        <v>4.5</v>
      </c>
      <c r="F93">
        <v>0.999</v>
      </c>
      <c r="K93">
        <v>0</v>
      </c>
      <c r="N93"/>
      <c r="O93"/>
      <c r="P93"/>
      <c r="Q93"/>
    </row>
    <row r="94" spans="4:17">
      <c r="D94">
        <v>2</v>
      </c>
      <c r="E94">
        <v>9.1</v>
      </c>
      <c r="F94">
        <v>0.999</v>
      </c>
      <c r="K94">
        <v>0</v>
      </c>
      <c r="N94"/>
      <c r="O94"/>
      <c r="P94"/>
      <c r="Q94"/>
    </row>
    <row r="95" spans="4:17">
      <c r="D95">
        <v>4</v>
      </c>
      <c r="E95">
        <v>4.4000000000000004</v>
      </c>
      <c r="F95">
        <v>0.999</v>
      </c>
      <c r="K95">
        <v>0</v>
      </c>
      <c r="N95"/>
      <c r="O95"/>
      <c r="P95"/>
      <c r="Q95"/>
    </row>
    <row r="96" spans="4:17">
      <c r="D96">
        <v>4</v>
      </c>
      <c r="E96">
        <v>5.5</v>
      </c>
      <c r="F96">
        <v>0.999</v>
      </c>
      <c r="K96">
        <v>15000</v>
      </c>
      <c r="N96"/>
      <c r="O96"/>
      <c r="P96"/>
      <c r="Q96"/>
    </row>
    <row r="97" spans="4:17">
      <c r="D97">
        <v>4</v>
      </c>
      <c r="E97">
        <v>7</v>
      </c>
      <c r="F97">
        <v>0.96099999999999997</v>
      </c>
      <c r="K97">
        <v>0</v>
      </c>
      <c r="N97"/>
      <c r="O97"/>
      <c r="P97"/>
      <c r="Q97"/>
    </row>
    <row r="98" spans="4:17">
      <c r="D98">
        <v>8</v>
      </c>
      <c r="E98">
        <v>6.8</v>
      </c>
      <c r="F98">
        <v>0.94699999999999995</v>
      </c>
      <c r="K98">
        <v>4000</v>
      </c>
      <c r="N98"/>
      <c r="O98"/>
      <c r="P98"/>
      <c r="Q98"/>
    </row>
    <row r="99" spans="4:17">
      <c r="D99">
        <v>10</v>
      </c>
      <c r="E99">
        <v>4.7</v>
      </c>
      <c r="F99">
        <v>0.98</v>
      </c>
      <c r="K99">
        <v>0</v>
      </c>
      <c r="N99"/>
      <c r="O99"/>
      <c r="P99"/>
      <c r="Q99"/>
    </row>
    <row r="100" spans="4:17">
      <c r="D100">
        <v>12.8</v>
      </c>
      <c r="E100">
        <v>9.1</v>
      </c>
      <c r="F100">
        <v>0.999</v>
      </c>
      <c r="K100">
        <v>0</v>
      </c>
      <c r="N100"/>
      <c r="O100"/>
      <c r="P100"/>
      <c r="Q100"/>
    </row>
    <row r="101" spans="4:17">
      <c r="D101">
        <v>20</v>
      </c>
      <c r="E101">
        <v>4</v>
      </c>
      <c r="F101">
        <v>0.999</v>
      </c>
      <c r="K101">
        <v>2500</v>
      </c>
      <c r="N101"/>
      <c r="O101"/>
      <c r="P101"/>
      <c r="Q101"/>
    </row>
    <row r="102" spans="4:17">
      <c r="D102">
        <v>20</v>
      </c>
      <c r="E102">
        <v>5.0999999999999996</v>
      </c>
      <c r="F102">
        <v>0.94699999999999995</v>
      </c>
      <c r="K102">
        <v>1000</v>
      </c>
      <c r="N102"/>
      <c r="O102"/>
      <c r="P102"/>
      <c r="Q102"/>
    </row>
    <row r="103" spans="4:17">
      <c r="D103">
        <v>20</v>
      </c>
      <c r="E103">
        <v>5.0999999999999996</v>
      </c>
      <c r="F103">
        <v>0.999</v>
      </c>
      <c r="K103">
        <v>20000</v>
      </c>
      <c r="N103"/>
      <c r="O103"/>
      <c r="P103"/>
      <c r="Q103"/>
    </row>
    <row r="104" spans="4:17">
      <c r="D104">
        <v>20</v>
      </c>
      <c r="E104">
        <v>5.6</v>
      </c>
      <c r="F104">
        <v>0.999</v>
      </c>
      <c r="K104">
        <v>20000</v>
      </c>
      <c r="N104"/>
      <c r="O104"/>
      <c r="P104"/>
      <c r="Q104"/>
    </row>
    <row r="105" spans="4:17">
      <c r="D105">
        <v>20</v>
      </c>
      <c r="E105">
        <v>6.9</v>
      </c>
      <c r="F105">
        <v>0.93100000000000005</v>
      </c>
      <c r="K105">
        <v>0</v>
      </c>
      <c r="N105"/>
      <c r="O105"/>
      <c r="P105"/>
      <c r="Q105"/>
    </row>
    <row r="106" spans="4:17">
      <c r="D106">
        <v>20</v>
      </c>
      <c r="E106">
        <v>6.9</v>
      </c>
      <c r="F106">
        <v>0.94699999999999995</v>
      </c>
      <c r="K106">
        <v>4000</v>
      </c>
      <c r="N106"/>
      <c r="O106"/>
      <c r="P106"/>
      <c r="Q106"/>
    </row>
    <row r="107" spans="4:17">
      <c r="D107">
        <v>25</v>
      </c>
      <c r="E107">
        <v>4</v>
      </c>
      <c r="F107">
        <v>0.999</v>
      </c>
      <c r="K107">
        <v>0</v>
      </c>
      <c r="N107"/>
      <c r="O107"/>
      <c r="P107"/>
      <c r="Q107"/>
    </row>
    <row r="108" spans="4:17">
      <c r="D108">
        <v>25</v>
      </c>
      <c r="E108">
        <v>4.5</v>
      </c>
      <c r="F108">
        <v>0.97399999999999998</v>
      </c>
      <c r="K108">
        <v>0</v>
      </c>
      <c r="N108"/>
      <c r="O108"/>
      <c r="P108"/>
      <c r="Q108"/>
    </row>
    <row r="109" spans="4:17">
      <c r="D109">
        <v>25</v>
      </c>
      <c r="E109">
        <v>9</v>
      </c>
      <c r="F109">
        <v>0.999</v>
      </c>
      <c r="K109">
        <v>0</v>
      </c>
      <c r="N109"/>
      <c r="O109"/>
      <c r="P109"/>
      <c r="Q109"/>
    </row>
    <row r="110" spans="4:17">
      <c r="D110">
        <v>30</v>
      </c>
      <c r="E110">
        <v>8.6</v>
      </c>
      <c r="F110">
        <v>0.999</v>
      </c>
      <c r="K110">
        <v>0</v>
      </c>
      <c r="N110"/>
      <c r="O110"/>
      <c r="P110"/>
      <c r="Q110"/>
    </row>
    <row r="111" spans="4:17">
      <c r="D111">
        <v>38</v>
      </c>
      <c r="E111">
        <v>7.6</v>
      </c>
      <c r="F111">
        <v>0.999</v>
      </c>
      <c r="K111">
        <v>0</v>
      </c>
      <c r="N111"/>
      <c r="O111"/>
      <c r="P111"/>
      <c r="Q111"/>
    </row>
    <row r="114" spans="4:11">
      <c r="D114" s="2" t="s">
        <v>236</v>
      </c>
    </row>
    <row r="115" spans="4:11">
      <c r="D115" s="2">
        <v>-5</v>
      </c>
      <c r="E115" s="2">
        <v>3.5</v>
      </c>
      <c r="F115" s="2">
        <v>1</v>
      </c>
      <c r="K115" s="2">
        <v>0</v>
      </c>
    </row>
    <row r="116" spans="4:11">
      <c r="D116" s="2">
        <v>-5</v>
      </c>
      <c r="E116" s="2">
        <v>11</v>
      </c>
      <c r="F116" s="2">
        <v>1</v>
      </c>
      <c r="K116" s="2">
        <v>0</v>
      </c>
    </row>
    <row r="117" spans="4:11">
      <c r="D117" s="2">
        <v>55</v>
      </c>
      <c r="E117" s="2">
        <v>3.5</v>
      </c>
      <c r="F117" s="2">
        <v>0.9</v>
      </c>
      <c r="K117" s="2">
        <v>0</v>
      </c>
    </row>
    <row r="118" spans="4:11">
      <c r="D118" s="2">
        <v>55</v>
      </c>
      <c r="E118" s="2">
        <v>11</v>
      </c>
      <c r="F118" s="2">
        <v>1</v>
      </c>
      <c r="K118" s="2">
        <v>0</v>
      </c>
    </row>
    <row r="119" spans="4:11">
      <c r="D119" s="2">
        <v>55</v>
      </c>
      <c r="E119" s="2">
        <v>11</v>
      </c>
      <c r="F119" s="2">
        <v>1</v>
      </c>
      <c r="K119" s="2">
        <v>250000</v>
      </c>
    </row>
    <row r="120" spans="4:11">
      <c r="D120" s="2">
        <v>55</v>
      </c>
      <c r="E120" s="2">
        <v>11</v>
      </c>
      <c r="F120" s="2">
        <v>0.9</v>
      </c>
      <c r="K120" s="2">
        <v>250000</v>
      </c>
    </row>
    <row r="121" spans="4:11">
      <c r="D121" s="2">
        <v>0</v>
      </c>
      <c r="E121" s="2">
        <v>6</v>
      </c>
      <c r="F121" s="2">
        <v>0.95699999999999996</v>
      </c>
      <c r="K121" s="2">
        <v>0</v>
      </c>
    </row>
    <row r="122" spans="4:11">
      <c r="D122" s="2">
        <v>12</v>
      </c>
      <c r="E122" s="2">
        <v>11</v>
      </c>
      <c r="F122" s="2">
        <v>0.93100000000000005</v>
      </c>
      <c r="K122" s="2">
        <v>0</v>
      </c>
    </row>
    <row r="123" spans="4:11">
      <c r="D123" s="2">
        <v>54</v>
      </c>
      <c r="E123" s="2">
        <v>4.5</v>
      </c>
      <c r="F123" s="2">
        <v>1</v>
      </c>
      <c r="K123" s="2">
        <v>0</v>
      </c>
    </row>
  </sheetData>
  <phoneticPr fontId="0" type="noConversion"/>
  <printOptions gridLines="1" gridLinesSet="0"/>
  <pageMargins left="0.75" right="0.75" top="1" bottom="1" header="0.5" footer="0.5"/>
  <pageSetup paperSize="9" orientation="portrait" horizontalDpi="4294967292" r:id="rId1"/>
  <headerFooter alignWithMargins="0">
    <oddHeader>&amp;A</oddHeader>
    <oddFooter>Page &amp;P</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O54"/>
  <sheetViews>
    <sheetView workbookViewId="0">
      <selection activeCell="E28" sqref="E28"/>
    </sheetView>
  </sheetViews>
  <sheetFormatPr defaultColWidth="8.875" defaultRowHeight="12.75"/>
  <cols>
    <col min="1" max="1" width="8.375" style="2" customWidth="1"/>
    <col min="2" max="2" width="12.5" style="2" customWidth="1"/>
    <col min="3" max="3" width="8.875" style="2" customWidth="1"/>
    <col min="4" max="4" width="7.25" style="2" customWidth="1"/>
    <col min="5" max="5" width="6.875" style="2" customWidth="1"/>
    <col min="6" max="6" width="5.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Orgs!B29</f>
        <v>Pseudomonads</v>
      </c>
    </row>
    <row r="2" spans="1:15" s="24" customFormat="1" ht="14.25">
      <c r="A2" s="26"/>
      <c r="B2" s="27"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0">
        <v>3</v>
      </c>
      <c r="C3" s="75">
        <f>EXP(-3.2)</f>
        <v>4.0762203978366211E-2</v>
      </c>
      <c r="D3" s="30">
        <v>20</v>
      </c>
      <c r="E3" s="30">
        <v>5.6</v>
      </c>
      <c r="F3" s="32" t="s">
        <v>201</v>
      </c>
      <c r="G3" s="30">
        <v>0.5</v>
      </c>
      <c r="H3" s="30"/>
      <c r="I3" s="30"/>
      <c r="J3" s="30"/>
      <c r="K3" s="30"/>
      <c r="L3" s="30"/>
      <c r="M3" s="30"/>
      <c r="N3" s="30"/>
      <c r="O3" s="33"/>
    </row>
    <row r="4" spans="1:15">
      <c r="A4" s="29" t="s">
        <v>202</v>
      </c>
      <c r="B4" s="30"/>
      <c r="C4" s="34"/>
      <c r="D4" s="30">
        <v>2</v>
      </c>
      <c r="E4" s="30">
        <v>5.2</v>
      </c>
      <c r="F4" s="30"/>
      <c r="G4" s="30">
        <v>0.5</v>
      </c>
      <c r="H4" s="30"/>
      <c r="I4" s="30"/>
      <c r="J4" s="30"/>
      <c r="K4" s="30"/>
      <c r="L4" s="30"/>
      <c r="M4" s="30"/>
      <c r="N4" s="30"/>
      <c r="O4" s="33"/>
    </row>
    <row r="5" spans="1:15" ht="13.5" thickBot="1">
      <c r="A5" s="35" t="s">
        <v>203</v>
      </c>
      <c r="B5" s="36"/>
      <c r="C5" s="37"/>
      <c r="D5" s="36">
        <v>11</v>
      </c>
      <c r="E5" s="36">
        <v>6.4</v>
      </c>
      <c r="F5" s="36"/>
      <c r="G5" s="36">
        <v>0.5</v>
      </c>
      <c r="H5" s="36"/>
      <c r="I5" s="36"/>
      <c r="J5" s="36"/>
      <c r="K5" s="36"/>
      <c r="L5" s="36"/>
      <c r="M5" s="36"/>
      <c r="N5" s="36"/>
      <c r="O5" s="38"/>
    </row>
    <row r="6" spans="1:15" ht="13.5" thickBot="1">
      <c r="A6"/>
      <c r="C6" s="25"/>
    </row>
    <row r="7" spans="1:15">
      <c r="A7" s="39"/>
      <c r="B7" s="27"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c r="B8" s="41">
        <v>31010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c r="A9" s="2" t="s">
        <v>212</v>
      </c>
      <c r="D9" s="2">
        <v>4</v>
      </c>
      <c r="E9" s="2">
        <v>1</v>
      </c>
      <c r="F9" s="2">
        <v>0.01</v>
      </c>
    </row>
    <row r="10" spans="1:15" ht="14.25">
      <c r="A10" s="39"/>
      <c r="B10" s="53" t="s">
        <v>213</v>
      </c>
      <c r="C10" s="27"/>
      <c r="D10" s="27"/>
      <c r="E10" s="43"/>
      <c r="F10" s="43"/>
      <c r="G10" s="44"/>
      <c r="H10" s="56" t="s">
        <v>214</v>
      </c>
      <c r="I10" s="45"/>
    </row>
    <row r="11" spans="1:15">
      <c r="A11" s="29" t="s">
        <v>215</v>
      </c>
      <c r="B11" s="32">
        <v>0.126</v>
      </c>
      <c r="C11" s="46"/>
      <c r="D11" s="30"/>
      <c r="E11" s="30"/>
      <c r="F11" s="30"/>
      <c r="G11" s="47"/>
      <c r="H11" s="30"/>
      <c r="I11" s="33"/>
    </row>
    <row r="12" spans="1:15" ht="13.5" thickBot="1">
      <c r="A12" s="35" t="s">
        <v>216</v>
      </c>
      <c r="B12" s="48" t="str">
        <f>" =EXP("&amp;B14&amp;"*("&amp;C14&amp;")+"&amp;B15&amp;"*("&amp;C15&amp;")+"&amp;B16&amp;"*("&amp;C16&amp;")+"&amp;B17&amp;"*("&amp;C17&amp;")+"&amp;B18&amp;"*("&amp;C18&amp;")+"&amp;B19&amp;"*("&amp;C19&amp;")+"&amp;B20&amp;"*("&amp;C20&amp;")+"&amp;B21&amp;"*("&amp;C21&amp;")+"&amp;B22&amp;"*("&amp;C22&amp;")+"&amp;B23&amp;"*("&amp;C23&amp;"))"</f>
        <v xml:space="preserve"> =EXP(1*(-12.65)+tr*(-0.004365)+pr*(3.467)+bw*(0)+tr*pr*(0.01535)+tr*bw*(0)+pr*bw*(0)+tr^2*(0.004234)+pr^2*(-0.3024)+bw^2*(0))</v>
      </c>
      <c r="C12" s="49"/>
      <c r="D12" s="50"/>
      <c r="E12" s="49"/>
      <c r="F12" s="50"/>
      <c r="G12" s="51"/>
      <c r="H12" s="36">
        <v>8</v>
      </c>
      <c r="I12" s="38"/>
    </row>
    <row r="14" spans="1:15">
      <c r="A14" s="1">
        <v>1</v>
      </c>
      <c r="B14" s="24">
        <v>1</v>
      </c>
      <c r="C14" s="2">
        <v>-12.65</v>
      </c>
      <c r="E14" s="4"/>
    </row>
    <row r="15" spans="1:15">
      <c r="A15" s="1">
        <v>20</v>
      </c>
      <c r="B15" s="24" t="s">
        <v>45</v>
      </c>
      <c r="C15" s="2">
        <v>-4.365E-3</v>
      </c>
      <c r="E15" s="4"/>
    </row>
    <row r="16" spans="1:15">
      <c r="A16" s="1">
        <v>7</v>
      </c>
      <c r="B16" s="24" t="s">
        <v>46</v>
      </c>
      <c r="C16" s="2">
        <v>3.4670000000000001</v>
      </c>
    </row>
    <row r="17" spans="1:6">
      <c r="A17" s="1">
        <v>0.5</v>
      </c>
      <c r="B17" s="24" t="s">
        <v>47</v>
      </c>
      <c r="C17" s="2">
        <v>0</v>
      </c>
    </row>
    <row r="18" spans="1:6">
      <c r="A18" s="1">
        <f>A$15*A$16</f>
        <v>140</v>
      </c>
      <c r="B18" s="24" t="s">
        <v>222</v>
      </c>
      <c r="C18" s="2">
        <v>1.5350000000000001E-2</v>
      </c>
    </row>
    <row r="19" spans="1:6">
      <c r="A19" s="1">
        <f>A$15*A$17</f>
        <v>10</v>
      </c>
      <c r="B19" s="24" t="s">
        <v>225</v>
      </c>
      <c r="C19" s="2">
        <v>0</v>
      </c>
    </row>
    <row r="20" spans="1:6">
      <c r="A20" s="1">
        <f>A$16*A$17</f>
        <v>3.5</v>
      </c>
      <c r="B20" s="24" t="s">
        <v>227</v>
      </c>
      <c r="C20" s="2">
        <v>0</v>
      </c>
    </row>
    <row r="21" spans="1:6">
      <c r="A21" s="1">
        <f>A$15^2</f>
        <v>400</v>
      </c>
      <c r="B21" s="24" t="s">
        <v>229</v>
      </c>
      <c r="C21" s="2">
        <v>4.2339999999999999E-3</v>
      </c>
    </row>
    <row r="22" spans="1:6">
      <c r="A22" s="1">
        <f>A$16^2</f>
        <v>49</v>
      </c>
      <c r="B22" s="24" t="s">
        <v>231</v>
      </c>
      <c r="C22" s="2">
        <v>-0.3024</v>
      </c>
    </row>
    <row r="23" spans="1:6">
      <c r="A23" s="1">
        <f>A$17^2</f>
        <v>0.25</v>
      </c>
      <c r="B23" s="24" t="s">
        <v>233</v>
      </c>
      <c r="C23" s="2">
        <v>0</v>
      </c>
    </row>
    <row r="24" spans="1:6">
      <c r="A24" s="1"/>
      <c r="B24" s="24"/>
    </row>
    <row r="25" spans="1:6">
      <c r="A25" s="1"/>
      <c r="B25" s="24"/>
    </row>
    <row r="26" spans="1:6">
      <c r="A26" s="1"/>
      <c r="B26" s="24"/>
    </row>
    <row r="27" spans="1:6">
      <c r="A27" s="1"/>
      <c r="B27" s="24"/>
    </row>
    <row r="28" spans="1:6">
      <c r="A28" s="1"/>
      <c r="B28" s="24"/>
    </row>
    <row r="30" spans="1:6">
      <c r="D30" s="124" t="s">
        <v>234</v>
      </c>
    </row>
    <row r="31" spans="1:6">
      <c r="D31">
        <v>2</v>
      </c>
      <c r="E31">
        <v>6.8</v>
      </c>
      <c r="F31" s="2">
        <v>0.999</v>
      </c>
    </row>
    <row r="32" spans="1:6">
      <c r="D32">
        <v>2</v>
      </c>
      <c r="E32">
        <v>5.2</v>
      </c>
      <c r="F32" s="2">
        <v>0.999</v>
      </c>
    </row>
    <row r="33" spans="4:6">
      <c r="D33">
        <v>11</v>
      </c>
      <c r="E33">
        <v>5.2</v>
      </c>
      <c r="F33" s="2">
        <v>0.999</v>
      </c>
    </row>
    <row r="34" spans="4:6">
      <c r="D34">
        <v>11</v>
      </c>
      <c r="E34">
        <v>6.8</v>
      </c>
      <c r="F34" s="2">
        <v>0.999</v>
      </c>
    </row>
    <row r="36" spans="4:6">
      <c r="D36" s="2" t="s">
        <v>235</v>
      </c>
    </row>
    <row r="37" spans="4:6">
      <c r="D37">
        <v>25</v>
      </c>
      <c r="E37">
        <v>7</v>
      </c>
      <c r="F37">
        <v>0.999</v>
      </c>
    </row>
    <row r="38" spans="4:6">
      <c r="D38">
        <v>2</v>
      </c>
      <c r="E38">
        <v>5</v>
      </c>
      <c r="F38">
        <v>0.98</v>
      </c>
    </row>
    <row r="39" spans="4:6">
      <c r="D39">
        <v>2</v>
      </c>
      <c r="E39">
        <v>5</v>
      </c>
      <c r="F39">
        <v>0.999</v>
      </c>
    </row>
    <row r="40" spans="4:6">
      <c r="D40">
        <v>2</v>
      </c>
      <c r="E40">
        <v>8</v>
      </c>
      <c r="F40">
        <v>0.98</v>
      </c>
    </row>
    <row r="41" spans="4:6">
      <c r="D41">
        <v>2</v>
      </c>
      <c r="E41">
        <v>8</v>
      </c>
      <c r="F41">
        <v>0.999</v>
      </c>
    </row>
    <row r="42" spans="4:6">
      <c r="D42">
        <v>35</v>
      </c>
      <c r="E42">
        <v>5</v>
      </c>
      <c r="F42">
        <v>0.98</v>
      </c>
    </row>
    <row r="43" spans="4:6">
      <c r="D43">
        <v>35</v>
      </c>
      <c r="E43">
        <v>5</v>
      </c>
      <c r="F43">
        <v>0.999</v>
      </c>
    </row>
    <row r="44" spans="4:6">
      <c r="D44">
        <v>35</v>
      </c>
      <c r="E44">
        <v>8</v>
      </c>
      <c r="F44">
        <v>0.98</v>
      </c>
    </row>
    <row r="46" spans="4:6">
      <c r="D46" s="2" t="s">
        <v>236</v>
      </c>
    </row>
    <row r="47" spans="4:6">
      <c r="D47" s="2">
        <v>-5</v>
      </c>
      <c r="E47" s="2">
        <v>4</v>
      </c>
      <c r="F47" s="2">
        <v>0.9</v>
      </c>
    </row>
    <row r="48" spans="4:6">
      <c r="D48" s="2">
        <v>-5</v>
      </c>
      <c r="E48" s="2">
        <v>4</v>
      </c>
      <c r="F48" s="2">
        <v>1</v>
      </c>
    </row>
    <row r="49" spans="4:6">
      <c r="D49" s="2">
        <v>-5</v>
      </c>
      <c r="E49" s="2">
        <v>11</v>
      </c>
      <c r="F49" s="2">
        <v>0.9</v>
      </c>
    </row>
    <row r="50" spans="4:6">
      <c r="D50" s="2">
        <v>-5</v>
      </c>
      <c r="E50" s="2">
        <v>11</v>
      </c>
      <c r="F50" s="2">
        <v>1</v>
      </c>
    </row>
    <row r="51" spans="4:6">
      <c r="D51" s="2">
        <v>50</v>
      </c>
      <c r="E51" s="2">
        <v>4</v>
      </c>
      <c r="F51" s="2">
        <v>0.9</v>
      </c>
    </row>
    <row r="52" spans="4:6">
      <c r="D52" s="2">
        <v>50</v>
      </c>
      <c r="E52" s="2">
        <v>4</v>
      </c>
      <c r="F52" s="2">
        <v>1</v>
      </c>
    </row>
    <row r="53" spans="4:6">
      <c r="D53" s="2">
        <v>50</v>
      </c>
      <c r="E53" s="2">
        <v>11</v>
      </c>
      <c r="F53" s="2">
        <v>0.9</v>
      </c>
    </row>
    <row r="54" spans="4:6">
      <c r="D54" s="2">
        <v>50</v>
      </c>
      <c r="E54" s="2">
        <v>11</v>
      </c>
      <c r="F54" s="2">
        <v>1</v>
      </c>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O28"/>
  <sheetViews>
    <sheetView workbookViewId="0">
      <selection activeCell="E28" sqref="E28"/>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Orgs!B30</f>
        <v>Brochothrix thermosphacta death</v>
      </c>
    </row>
    <row r="2" spans="1:15" s="24" customFormat="1" ht="14.25">
      <c r="A2" s="26"/>
      <c r="B2" s="52" t="str">
        <f>DMpred!G16</f>
        <v>inoc</v>
      </c>
      <c r="C2" s="57" t="s">
        <v>264</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7</v>
      </c>
      <c r="C3" s="31" t="s">
        <v>265</v>
      </c>
      <c r="D3" s="30">
        <v>45</v>
      </c>
      <c r="E3" s="30">
        <v>7</v>
      </c>
      <c r="F3" s="32"/>
      <c r="G3" s="30"/>
      <c r="H3" s="30"/>
      <c r="I3" s="30"/>
      <c r="J3" s="30"/>
      <c r="K3" s="30"/>
      <c r="L3" s="30"/>
      <c r="M3" s="30"/>
      <c r="N3" s="30"/>
      <c r="O3" s="33"/>
    </row>
    <row r="4" spans="1:15">
      <c r="A4" s="29" t="s">
        <v>202</v>
      </c>
      <c r="B4" s="30"/>
      <c r="C4" s="34"/>
      <c r="D4" s="30">
        <v>39</v>
      </c>
      <c r="E4" s="30">
        <v>5.9</v>
      </c>
      <c r="F4" s="30"/>
      <c r="G4" s="30"/>
      <c r="H4" s="30"/>
      <c r="I4" s="30"/>
      <c r="J4" s="30"/>
      <c r="K4" s="30"/>
      <c r="L4" s="30"/>
      <c r="M4" s="30"/>
      <c r="N4" s="30"/>
      <c r="O4" s="33"/>
    </row>
    <row r="5" spans="1:15" ht="13.5" thickBot="1">
      <c r="A5" s="35" t="s">
        <v>203</v>
      </c>
      <c r="B5" s="36"/>
      <c r="C5" s="37"/>
      <c r="D5" s="36">
        <v>55</v>
      </c>
      <c r="E5" s="36">
        <v>7</v>
      </c>
      <c r="F5" s="36"/>
      <c r="G5" s="36"/>
      <c r="H5" s="36"/>
      <c r="I5" s="36"/>
      <c r="J5" s="36"/>
      <c r="K5" s="36"/>
      <c r="L5" s="36"/>
      <c r="M5" s="36"/>
      <c r="N5" s="36"/>
      <c r="O5" s="38"/>
    </row>
    <row r="6" spans="1:15" ht="13.5" thickBot="1">
      <c r="A6"/>
      <c r="C6" s="25"/>
    </row>
    <row r="7" spans="1:15">
      <c r="A7" s="39"/>
      <c r="B7" s="52"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-30010</v>
      </c>
      <c r="C8" s="37"/>
      <c r="D8" s="42" t="s">
        <v>208</v>
      </c>
      <c r="E8" s="42" t="s">
        <v>209</v>
      </c>
      <c r="F8" s="42" t="s">
        <v>210</v>
      </c>
      <c r="G8" s="42" t="s">
        <v>211</v>
      </c>
      <c r="H8" s="36" t="s">
        <v>211</v>
      </c>
      <c r="I8" s="36" t="s">
        <v>211</v>
      </c>
      <c r="J8" s="36" t="s">
        <v>211</v>
      </c>
      <c r="K8" s="36" t="s">
        <v>211</v>
      </c>
      <c r="L8" s="36" t="s">
        <v>211</v>
      </c>
      <c r="M8" s="36" t="s">
        <v>211</v>
      </c>
      <c r="N8" s="36" t="s">
        <v>211</v>
      </c>
      <c r="O8" s="38" t="s">
        <v>211</v>
      </c>
    </row>
    <row r="9" spans="1:15" ht="13.5" thickBot="1"/>
    <row r="10" spans="1:15" ht="14.25">
      <c r="A10" s="39"/>
      <c r="B10" s="53" t="s">
        <v>213</v>
      </c>
      <c r="C10" s="27"/>
      <c r="D10" s="27"/>
      <c r="E10" s="43"/>
      <c r="F10" s="43"/>
      <c r="G10" s="44"/>
      <c r="H10" s="56" t="s">
        <v>214</v>
      </c>
      <c r="I10" s="45"/>
    </row>
    <row r="11" spans="1:15">
      <c r="A11" s="29" t="s">
        <v>215</v>
      </c>
      <c r="B11" s="30"/>
      <c r="C11" s="46"/>
      <c r="D11" s="30"/>
      <c r="E11" s="30"/>
      <c r="F11" s="30"/>
      <c r="G11" s="47"/>
      <c r="H11" s="30"/>
      <c r="I11" s="33"/>
    </row>
    <row r="12" spans="1:15" ht="13.5" thickBot="1">
      <c r="A12" s="35" t="s">
        <v>239</v>
      </c>
      <c r="B12" s="48" t="str">
        <f>" =-EXP("&amp;B14&amp;"*("&amp;C14&amp;")+"&amp;B15&amp;"*("&amp;C15&amp;")+"&amp;B16&amp;"*("&amp;C16&amp;"))"</f>
        <v xml:space="preserve"> =-EXP(1*(-16.1)+tr*(0.373)+pr*(0.217))</v>
      </c>
      <c r="C12" s="49"/>
      <c r="D12" s="50"/>
      <c r="E12" s="49"/>
      <c r="F12" s="36"/>
      <c r="G12" s="51"/>
      <c r="H12" s="42" t="s">
        <v>266</v>
      </c>
      <c r="I12" s="38"/>
    </row>
    <row r="14" spans="1:15">
      <c r="A14" s="1">
        <v>1</v>
      </c>
      <c r="B14" s="24">
        <v>1</v>
      </c>
      <c r="C14" s="2">
        <v>-16.100000000000001</v>
      </c>
      <c r="E14" s="4"/>
    </row>
    <row r="15" spans="1:15">
      <c r="A15" s="1">
        <v>20</v>
      </c>
      <c r="B15" s="24" t="s">
        <v>45</v>
      </c>
      <c r="C15" s="2">
        <v>0.373</v>
      </c>
      <c r="E15" s="4"/>
    </row>
    <row r="16" spans="1:15">
      <c r="A16" s="1">
        <v>7</v>
      </c>
      <c r="B16" s="24" t="s">
        <v>46</v>
      </c>
      <c r="C16" s="2">
        <v>0.217</v>
      </c>
    </row>
    <row r="17" spans="1:2">
      <c r="A17" s="1"/>
      <c r="B17" s="24"/>
    </row>
    <row r="18" spans="1:2">
      <c r="A18" s="1"/>
      <c r="B18" s="24"/>
    </row>
    <row r="19" spans="1:2">
      <c r="A19" s="1"/>
      <c r="B19" s="24"/>
    </row>
    <row r="20" spans="1:2">
      <c r="A20" s="1"/>
      <c r="B20" s="24"/>
    </row>
    <row r="21" spans="1:2">
      <c r="A21" s="1"/>
      <c r="B21" s="24"/>
    </row>
    <row r="22" spans="1:2">
      <c r="A22" s="1"/>
      <c r="B22" s="24"/>
    </row>
    <row r="23" spans="1:2">
      <c r="A23" s="1"/>
      <c r="B23" s="24"/>
    </row>
    <row r="24" spans="1:2">
      <c r="A24" s="1"/>
      <c r="B24" s="24"/>
    </row>
    <row r="25" spans="1:2">
      <c r="A25" s="1"/>
      <c r="B25" s="24"/>
    </row>
    <row r="26" spans="1:2">
      <c r="A26" s="1"/>
      <c r="B26" s="24"/>
    </row>
    <row r="27" spans="1:2">
      <c r="A27" s="1"/>
      <c r="B27" s="24"/>
    </row>
    <row r="28" spans="1:2">
      <c r="A28" s="1"/>
      <c r="B28" s="24"/>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O28"/>
  <sheetViews>
    <sheetView workbookViewId="0">
      <selection activeCell="E28" sqref="E28"/>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Orgs!B23</f>
        <v>Yersinia enterocolitica</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7">
        <v>0.1</v>
      </c>
      <c r="D3" s="30">
        <v>20</v>
      </c>
      <c r="E3" s="30">
        <v>7</v>
      </c>
      <c r="F3" s="32" t="s">
        <v>201</v>
      </c>
      <c r="G3" s="30">
        <v>0.5</v>
      </c>
      <c r="H3" s="30"/>
      <c r="I3" s="30"/>
      <c r="J3" s="30"/>
      <c r="K3" s="30"/>
      <c r="L3" s="30"/>
      <c r="M3" s="30"/>
      <c r="N3" s="30"/>
      <c r="O3" s="33"/>
    </row>
    <row r="4" spans="1:15">
      <c r="A4" s="29" t="s">
        <v>202</v>
      </c>
      <c r="B4" s="30"/>
      <c r="C4" s="34"/>
      <c r="D4" s="30">
        <v>0</v>
      </c>
      <c r="E4" s="30">
        <v>4.5</v>
      </c>
      <c r="F4" s="30"/>
      <c r="G4" s="30">
        <v>0</v>
      </c>
      <c r="H4" s="30"/>
      <c r="I4" s="30"/>
      <c r="J4" s="30"/>
      <c r="K4" s="30"/>
      <c r="L4" s="30"/>
      <c r="M4" s="30"/>
      <c r="N4" s="30"/>
      <c r="O4" s="33"/>
    </row>
    <row r="5" spans="1:15" ht="13.5" thickBot="1">
      <c r="A5" s="35" t="s">
        <v>203</v>
      </c>
      <c r="B5" s="36"/>
      <c r="C5" s="37"/>
      <c r="D5" s="36">
        <v>30</v>
      </c>
      <c r="E5" s="36">
        <v>7.1</v>
      </c>
      <c r="F5" s="36"/>
      <c r="G5" s="36">
        <v>7</v>
      </c>
      <c r="H5" s="36"/>
      <c r="I5" s="36"/>
      <c r="J5" s="36"/>
      <c r="K5" s="36"/>
      <c r="L5" s="36"/>
      <c r="M5" s="36"/>
      <c r="N5" s="36"/>
      <c r="O5" s="38"/>
    </row>
    <row r="6" spans="1:15" ht="13.5" thickBot="1">
      <c r="A6"/>
      <c r="C6" s="25"/>
    </row>
    <row r="7" spans="1:15">
      <c r="A7" s="39"/>
      <c r="B7" s="27"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210</v>
      </c>
      <c r="G8" s="42"/>
      <c r="H8" s="36" t="s">
        <v>211</v>
      </c>
      <c r="I8" s="36" t="s">
        <v>211</v>
      </c>
      <c r="J8" s="36" t="s">
        <v>211</v>
      </c>
      <c r="K8" s="36" t="s">
        <v>211</v>
      </c>
      <c r="L8" s="36" t="s">
        <v>211</v>
      </c>
      <c r="M8" s="36" t="s">
        <v>211</v>
      </c>
      <c r="N8" s="36" t="s">
        <v>211</v>
      </c>
      <c r="O8" s="38" t="s">
        <v>211</v>
      </c>
    </row>
    <row r="9" spans="1:15" ht="13.5" thickBot="1"/>
    <row r="10" spans="1:15" ht="14.25">
      <c r="A10" s="39"/>
      <c r="B10" s="53" t="s">
        <v>213</v>
      </c>
      <c r="C10" s="27"/>
      <c r="D10" s="27"/>
      <c r="E10" s="43"/>
      <c r="F10" s="43"/>
      <c r="G10" s="44"/>
      <c r="H10" s="56" t="s">
        <v>214</v>
      </c>
      <c r="I10" s="45"/>
    </row>
    <row r="11" spans="1:15">
      <c r="A11" s="29" t="s">
        <v>215</v>
      </c>
      <c r="B11" s="32">
        <v>0.3</v>
      </c>
      <c r="C11" s="46"/>
      <c r="D11" s="30"/>
      <c r="E11" s="30"/>
      <c r="F11" s="30"/>
      <c r="G11" s="47"/>
      <c r="H11" s="30"/>
      <c r="I11" s="33"/>
    </row>
    <row r="12" spans="1:15" ht="13.5" thickBot="1">
      <c r="A12" s="35" t="s">
        <v>239</v>
      </c>
      <c r="B12" s="48" t="str">
        <f>" =(MAX((tr-("&amp;C15&amp;"))*("&amp;C14&amp;")*(1-((pr-("&amp;C16&amp;"))*("&amp;C17&amp;"))^2-((bw-("&amp;C18&amp;"))*"&amp;C19&amp;")^2),0))^2"</f>
        <v xml:space="preserve"> =(MAX((tr-(-7.28))*(0.0266)*(1-((pr-(6.7))*(0.266))^2-((bw-(0.05))*5.4)^2),0))^2</v>
      </c>
      <c r="C12" s="49"/>
      <c r="D12" s="50"/>
      <c r="E12" s="49"/>
      <c r="F12" s="50"/>
      <c r="G12" s="51"/>
      <c r="H12" s="36">
        <v>9</v>
      </c>
      <c r="I12" s="38"/>
    </row>
    <row r="14" spans="1:15">
      <c r="A14" s="1"/>
      <c r="B14" s="24" t="s">
        <v>267</v>
      </c>
      <c r="C14" s="2">
        <v>2.6599999999999999E-2</v>
      </c>
    </row>
    <row r="15" spans="1:15">
      <c r="A15" s="1"/>
      <c r="B15" s="24" t="s">
        <v>268</v>
      </c>
      <c r="C15" s="2">
        <v>-7.28</v>
      </c>
      <c r="G15"/>
    </row>
    <row r="16" spans="1:15">
      <c r="A16" s="1"/>
      <c r="B16" s="24" t="s">
        <v>269</v>
      </c>
      <c r="C16" s="2">
        <v>6.7</v>
      </c>
      <c r="G16" s="4"/>
    </row>
    <row r="17" spans="1:7">
      <c r="A17" s="1"/>
      <c r="B17" s="24" t="s">
        <v>270</v>
      </c>
      <c r="C17" s="2">
        <v>0.26600000000000001</v>
      </c>
      <c r="G17" s="4"/>
    </row>
    <row r="18" spans="1:7">
      <c r="A18" s="1"/>
      <c r="B18" s="24" t="s">
        <v>271</v>
      </c>
      <c r="C18" s="2">
        <v>0.05</v>
      </c>
      <c r="G18" s="4"/>
    </row>
    <row r="19" spans="1:7">
      <c r="A19" s="1"/>
      <c r="B19" s="24" t="s">
        <v>272</v>
      </c>
      <c r="C19" s="2">
        <v>5.4</v>
      </c>
    </row>
    <row r="20" spans="1:7">
      <c r="A20" s="1"/>
      <c r="B20" s="24"/>
    </row>
    <row r="21" spans="1:7">
      <c r="A21" s="1"/>
      <c r="B21" s="55"/>
    </row>
    <row r="22" spans="1:7">
      <c r="A22" s="1"/>
      <c r="B22" s="4"/>
    </row>
    <row r="23" spans="1:7">
      <c r="A23" s="1"/>
      <c r="B23" s="4"/>
    </row>
    <row r="24" spans="1:7">
      <c r="A24" s="1"/>
      <c r="B24" s="24"/>
    </row>
    <row r="25" spans="1:7">
      <c r="A25" s="1"/>
      <c r="B25" s="24"/>
    </row>
    <row r="26" spans="1:7">
      <c r="A26" s="1"/>
      <c r="B26" s="24"/>
    </row>
    <row r="27" spans="1:7">
      <c r="A27" s="1"/>
      <c r="B27" s="24"/>
    </row>
    <row r="28" spans="1:7">
      <c r="A28" s="1"/>
      <c r="B28" s="24"/>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O28"/>
  <sheetViews>
    <sheetView workbookViewId="0">
      <selection activeCell="E28" sqref="E28"/>
    </sheetView>
  </sheetViews>
  <sheetFormatPr defaultColWidth="8.875" defaultRowHeight="12.75"/>
  <cols>
    <col min="1" max="1" width="8.375" style="2" customWidth="1"/>
    <col min="2" max="2" width="11.5" style="2" customWidth="1"/>
    <col min="3" max="3" width="8.875" style="2" customWidth="1"/>
    <col min="4" max="4" width="7.25" style="2" customWidth="1"/>
    <col min="5" max="5" width="6.875" style="2" customWidth="1"/>
    <col min="6" max="6" width="7.375" style="2" customWidth="1"/>
    <col min="7" max="7" width="6.5" style="2" customWidth="1"/>
    <col min="8" max="8" width="6.625" style="2" customWidth="1"/>
    <col min="9" max="9" width="5.5" style="2" customWidth="1"/>
    <col min="10" max="10" width="6.125" style="2" customWidth="1"/>
    <col min="11" max="14" width="6.5" style="2" customWidth="1"/>
    <col min="15" max="15" width="6.75" style="2" customWidth="1"/>
    <col min="16" max="16384" width="8.875" style="2"/>
  </cols>
  <sheetData>
    <row r="1" spans="1:15" ht="13.5" thickBot="1">
      <c r="A1" s="23" t="str">
        <f>Orgs!B23</f>
        <v>Yersinia enterocolitica</v>
      </c>
    </row>
    <row r="2" spans="1:15" s="24" customFormat="1" ht="14.25">
      <c r="A2" s="26"/>
      <c r="B2" s="52" t="str">
        <f>DMpred!G16</f>
        <v>inoc</v>
      </c>
      <c r="C2" s="57" t="s">
        <v>199</v>
      </c>
      <c r="D2" s="27" t="str">
        <f>DMpred!I16</f>
        <v>temp</v>
      </c>
      <c r="E2" s="27" t="str">
        <f>DMpred!J16</f>
        <v>pH</v>
      </c>
      <c r="F2" s="27" t="str">
        <f>DMpred!K16</f>
        <v>aw</v>
      </c>
      <c r="G2" s="27" t="str">
        <f>DMpred!L16</f>
        <v>NaCl</v>
      </c>
      <c r="H2" s="27" t="str">
        <f>DMpred!M16</f>
        <v>CO_2</v>
      </c>
      <c r="I2" s="27" t="str">
        <f>DMpred!N16</f>
        <v>nitr</v>
      </c>
      <c r="J2" s="27" t="str">
        <f>DMpred!O16</f>
        <v>acet</v>
      </c>
      <c r="K2" s="27" t="str">
        <f>DMpred!P16</f>
        <v>lact</v>
      </c>
      <c r="L2" s="27" t="str">
        <f>DMpred!Q16</f>
        <v>sorb</v>
      </c>
      <c r="M2" s="27" t="str">
        <f>DMpred!R16</f>
        <v>ef_1</v>
      </c>
      <c r="N2" s="27" t="str">
        <f>DMpred!S16</f>
        <v>ef_2</v>
      </c>
      <c r="O2" s="28" t="str">
        <f>DMpred!T16</f>
        <v>ef_3</v>
      </c>
    </row>
    <row r="3" spans="1:15">
      <c r="A3" s="29" t="s">
        <v>200</v>
      </c>
      <c r="B3" s="32">
        <v>3</v>
      </c>
      <c r="C3" s="77">
        <v>0.1</v>
      </c>
      <c r="D3" s="30">
        <v>20</v>
      </c>
      <c r="E3" s="30">
        <v>7</v>
      </c>
      <c r="F3" s="32" t="s">
        <v>201</v>
      </c>
      <c r="G3" s="30">
        <v>0.5</v>
      </c>
      <c r="H3" s="30">
        <v>0</v>
      </c>
      <c r="I3" s="30"/>
      <c r="J3" s="30"/>
      <c r="K3" s="30"/>
      <c r="L3" s="30"/>
      <c r="M3" s="30"/>
      <c r="N3" s="30"/>
      <c r="O3" s="33"/>
    </row>
    <row r="4" spans="1:15">
      <c r="A4" s="29" t="s">
        <v>202</v>
      </c>
      <c r="B4" s="30"/>
      <c r="C4" s="34"/>
      <c r="D4" s="30">
        <v>5</v>
      </c>
      <c r="E4" s="30">
        <v>5.5</v>
      </c>
      <c r="F4" s="30"/>
      <c r="G4" s="30">
        <v>0.5</v>
      </c>
      <c r="H4" s="30">
        <v>0</v>
      </c>
      <c r="I4" s="30"/>
      <c r="J4" s="30"/>
      <c r="K4" s="30"/>
      <c r="L4" s="30"/>
      <c r="M4" s="30"/>
      <c r="N4" s="30"/>
      <c r="O4" s="33"/>
    </row>
    <row r="5" spans="1:15" ht="13.5" thickBot="1">
      <c r="A5" s="35" t="s">
        <v>203</v>
      </c>
      <c r="B5" s="36"/>
      <c r="C5" s="37"/>
      <c r="D5" s="36">
        <v>30</v>
      </c>
      <c r="E5" s="36">
        <v>7</v>
      </c>
      <c r="F5" s="36"/>
      <c r="G5" s="36">
        <v>4.5</v>
      </c>
      <c r="H5" s="36">
        <v>100</v>
      </c>
      <c r="I5" s="36"/>
      <c r="J5" s="36"/>
      <c r="K5" s="36"/>
      <c r="L5" s="36"/>
      <c r="M5" s="36"/>
      <c r="N5" s="36"/>
      <c r="O5" s="38"/>
    </row>
    <row r="6" spans="1:15" ht="13.5" thickBot="1">
      <c r="A6"/>
      <c r="C6" s="25"/>
    </row>
    <row r="7" spans="1:15">
      <c r="A7" s="39"/>
      <c r="B7" s="27" t="s">
        <v>204</v>
      </c>
      <c r="C7" s="40"/>
      <c r="D7" s="52" t="s">
        <v>45</v>
      </c>
      <c r="E7" s="52" t="s">
        <v>46</v>
      </c>
      <c r="F7" s="52" t="s">
        <v>47</v>
      </c>
      <c r="G7" s="52" t="s">
        <v>48</v>
      </c>
      <c r="H7" s="27" t="s">
        <v>49</v>
      </c>
      <c r="I7" s="27" t="s">
        <v>50</v>
      </c>
      <c r="J7" s="27" t="s">
        <v>51</v>
      </c>
      <c r="K7" s="27" t="s">
        <v>52</v>
      </c>
      <c r="L7" s="27" t="s">
        <v>53</v>
      </c>
      <c r="M7" s="27" t="s">
        <v>205</v>
      </c>
      <c r="N7" s="27" t="s">
        <v>206</v>
      </c>
      <c r="O7" s="28" t="s">
        <v>207</v>
      </c>
    </row>
    <row r="8" spans="1:15" ht="13.5" thickBot="1">
      <c r="A8" s="35" t="s">
        <v>238</v>
      </c>
      <c r="B8" s="41">
        <v>31010</v>
      </c>
      <c r="C8" s="37"/>
      <c r="D8" s="42" t="s">
        <v>208</v>
      </c>
      <c r="E8" s="42" t="s">
        <v>209</v>
      </c>
      <c r="F8" s="42" t="s">
        <v>245</v>
      </c>
      <c r="G8" s="42" t="s">
        <v>211</v>
      </c>
      <c r="H8" s="36" t="s">
        <v>211</v>
      </c>
      <c r="I8" s="36" t="s">
        <v>211</v>
      </c>
      <c r="J8" s="36" t="s">
        <v>211</v>
      </c>
      <c r="K8" s="36" t="s">
        <v>211</v>
      </c>
      <c r="L8" s="36" t="s">
        <v>211</v>
      </c>
      <c r="M8" s="36" t="s">
        <v>211</v>
      </c>
      <c r="N8" s="36" t="s">
        <v>211</v>
      </c>
      <c r="O8" s="38" t="s">
        <v>211</v>
      </c>
    </row>
    <row r="9" spans="1:15" ht="13.5" thickBot="1"/>
    <row r="10" spans="1:15" ht="14.25">
      <c r="A10" s="39"/>
      <c r="B10" s="53" t="s">
        <v>213</v>
      </c>
      <c r="C10" s="27"/>
      <c r="D10" s="27"/>
      <c r="E10" s="43"/>
      <c r="F10" s="43"/>
      <c r="G10" s="44"/>
      <c r="H10" s="56" t="s">
        <v>214</v>
      </c>
      <c r="I10" s="45"/>
    </row>
    <row r="11" spans="1:15">
      <c r="A11" s="29" t="s">
        <v>215</v>
      </c>
      <c r="B11" s="32">
        <v>0.33</v>
      </c>
      <c r="C11" s="46"/>
      <c r="D11" s="30"/>
      <c r="E11" s="30"/>
      <c r="F11" s="30"/>
      <c r="G11" s="47"/>
      <c r="H11" s="30"/>
      <c r="I11" s="33"/>
    </row>
    <row r="12" spans="1:15" ht="13.5" thickBot="1">
      <c r="A12" s="35" t="s">
        <v>239</v>
      </c>
      <c r="B12" s="48" t="str">
        <f>" =(MAX((tr-("&amp;C15&amp;"))*("&amp;C14&amp;")*(1-((pr-("&amp;C16&amp;"))*("&amp;C17&amp;"))^2-((bw-("&amp;C18&amp;"))*"&amp;C19&amp;")^2-(LN(1+Cr/100)*"&amp;C20&amp;")^2),0))^2"</f>
        <v xml:space="preserve"> =(MAX((tr-(-7.28))*(0.0266)*(1-((pr-(6.7))*(0.266))^2-((bw-(0.05))*5.4)^2-(LN(1+Cr/100)*0.93)^2),0))^2</v>
      </c>
      <c r="C12" s="49"/>
      <c r="D12" s="50"/>
      <c r="E12" s="49"/>
      <c r="F12" s="50"/>
      <c r="G12" s="51"/>
      <c r="H12" s="36">
        <v>9</v>
      </c>
      <c r="I12" s="38"/>
    </row>
    <row r="14" spans="1:15">
      <c r="A14" s="1"/>
      <c r="B14" s="24" t="s">
        <v>267</v>
      </c>
      <c r="C14" s="2">
        <v>2.6599999999999999E-2</v>
      </c>
      <c r="E14" s="4"/>
    </row>
    <row r="15" spans="1:15">
      <c r="A15" s="1"/>
      <c r="B15" s="24" t="s">
        <v>268</v>
      </c>
      <c r="C15" s="2">
        <v>-7.28</v>
      </c>
      <c r="E15" s="4"/>
      <c r="G15"/>
    </row>
    <row r="16" spans="1:15">
      <c r="A16" s="1"/>
      <c r="B16" s="24" t="s">
        <v>269</v>
      </c>
      <c r="C16" s="2">
        <v>6.7</v>
      </c>
      <c r="G16" s="4"/>
    </row>
    <row r="17" spans="1:7">
      <c r="A17" s="1"/>
      <c r="B17" s="24" t="s">
        <v>270</v>
      </c>
      <c r="C17" s="2">
        <v>0.26600000000000001</v>
      </c>
      <c r="G17" s="4"/>
    </row>
    <row r="18" spans="1:7">
      <c r="A18" s="1"/>
      <c r="B18" s="24" t="s">
        <v>271</v>
      </c>
      <c r="C18" s="2">
        <v>0.05</v>
      </c>
      <c r="G18" s="4"/>
    </row>
    <row r="19" spans="1:7">
      <c r="A19" s="1"/>
      <c r="B19" s="24" t="s">
        <v>272</v>
      </c>
      <c r="C19" s="2">
        <v>5.4</v>
      </c>
    </row>
    <row r="20" spans="1:7">
      <c r="A20" s="1"/>
      <c r="B20" s="24" t="s">
        <v>273</v>
      </c>
      <c r="C20" s="2">
        <v>0.93</v>
      </c>
    </row>
    <row r="21" spans="1:7">
      <c r="A21" s="1"/>
      <c r="B21" s="55"/>
    </row>
    <row r="22" spans="1:7">
      <c r="A22" s="1"/>
      <c r="B22" s="4"/>
    </row>
    <row r="23" spans="1:7">
      <c r="A23" s="1"/>
      <c r="B23" s="4"/>
    </row>
    <row r="24" spans="1:7" ht="11.25" customHeight="1">
      <c r="A24" s="1"/>
      <c r="B24" s="24"/>
    </row>
    <row r="25" spans="1:7">
      <c r="A25" s="1"/>
      <c r="B25" s="24"/>
    </row>
    <row r="26" spans="1:7">
      <c r="A26" s="1"/>
      <c r="B26" s="24"/>
    </row>
    <row r="27" spans="1:7">
      <c r="A27" s="1"/>
      <c r="B27" s="24"/>
    </row>
    <row r="28" spans="1:7">
      <c r="A28" s="1"/>
      <c r="B28" s="24"/>
    </row>
  </sheetData>
  <phoneticPr fontId="0" type="noConversion"/>
  <printOptions gridLines="1" gridLinesSet="0"/>
  <pageMargins left="0.75" right="0.75" top="1" bottom="1" header="0.5" footer="0.5"/>
  <pageSetup paperSize="9" orientation="portrait" horizontalDpi="120"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34</vt:i4>
      </vt:variant>
      <vt:variant>
        <vt:lpstr>Dialogs</vt:lpstr>
      </vt:variant>
      <vt:variant>
        <vt:i4>2</vt:i4>
      </vt:variant>
      <vt:variant>
        <vt:lpstr>Named Ranges</vt:lpstr>
      </vt:variant>
      <vt:variant>
        <vt:i4>25</vt:i4>
      </vt:variant>
    </vt:vector>
  </HeadingPairs>
  <TitlesOfParts>
    <vt:vector size="61" baseType="lpstr">
      <vt:lpstr>DMpred</vt:lpstr>
      <vt:lpstr>Orgs</vt:lpstr>
      <vt:lpstr>Help</vt:lpstr>
      <vt:lpstr>Ah</vt:lpstr>
      <vt:lpstr>Ss_Ef</vt:lpstr>
      <vt:lpstr>Bc</vt:lpstr>
      <vt:lpstr>Bc_C</vt:lpstr>
      <vt:lpstr>Bl</vt:lpstr>
      <vt:lpstr>Bs</vt:lpstr>
      <vt:lpstr>Bs(glyc)</vt:lpstr>
      <vt:lpstr>Bt</vt:lpstr>
      <vt:lpstr>Cbn</vt:lpstr>
      <vt:lpstr>Cbp</vt:lpstr>
      <vt:lpstr>Cp</vt:lpstr>
      <vt:lpstr>Ec</vt:lpstr>
      <vt:lpstr>Ec_C</vt:lpstr>
      <vt:lpstr>Lm</vt:lpstr>
      <vt:lpstr>Lm_C</vt:lpstr>
      <vt:lpstr>Lm_N</vt:lpstr>
      <vt:lpstr>Lm_L</vt:lpstr>
      <vt:lpstr>Lm_A</vt:lpstr>
      <vt:lpstr>Sa</vt:lpstr>
      <vt:lpstr>Sc</vt:lpstr>
      <vt:lpstr>SS</vt:lpstr>
      <vt:lpstr>SS_C</vt:lpstr>
      <vt:lpstr>SS_N</vt:lpstr>
      <vt:lpstr>Ye</vt:lpstr>
      <vt:lpstr>Ye_C</vt:lpstr>
      <vt:lpstr>Ye_A</vt:lpstr>
      <vt:lpstr>Ye_L</vt:lpstr>
      <vt:lpstr>Ps</vt:lpstr>
      <vt:lpstr>Bt_d</vt:lpstr>
      <vt:lpstr>Ye(ElModel)</vt:lpstr>
      <vt:lpstr>Ye_C(ElModel)</vt:lpstr>
      <vt:lpstr>OrgDialog</vt:lpstr>
      <vt:lpstr>Grid</vt:lpstr>
      <vt:lpstr>aar</vt:lpstr>
      <vt:lpstr>acet</vt:lpstr>
      <vt:lpstr>aw</vt:lpstr>
      <vt:lpstr>bw</vt:lpstr>
      <vt:lpstr>CO_2</vt:lpstr>
      <vt:lpstr>Cr</vt:lpstr>
      <vt:lpstr>e10r</vt:lpstr>
      <vt:lpstr>e11r</vt:lpstr>
      <vt:lpstr>e12r</vt:lpstr>
      <vt:lpstr>ef_1</vt:lpstr>
      <vt:lpstr>ef_2</vt:lpstr>
      <vt:lpstr>ef_3</vt:lpstr>
      <vt:lpstr>lact</vt:lpstr>
      <vt:lpstr>lar</vt:lpstr>
      <vt:lpstr>NaCl</vt:lpstr>
      <vt:lpstr>NCr</vt:lpstr>
      <vt:lpstr>nitr</vt:lpstr>
      <vt:lpstr>nr</vt:lpstr>
      <vt:lpstr>pH</vt:lpstr>
      <vt:lpstr>pr</vt:lpstr>
      <vt:lpstr>DMpred!Print_Area</vt:lpstr>
      <vt:lpstr>sar</vt:lpstr>
      <vt:lpstr>sorb</vt:lpstr>
      <vt:lpstr>temp</vt:lpstr>
      <vt:lpstr>tr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Baranyi</cp:lastModifiedBy>
  <dcterms:created xsi:type="dcterms:W3CDTF">2004-01-15T14:54:04Z</dcterms:created>
  <dcterms:modified xsi:type="dcterms:W3CDTF">2015-03-13T16:13:45Z</dcterms:modified>
</cp:coreProperties>
</file>